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FILES\M S Excel\"/>
    </mc:Choice>
  </mc:AlternateContent>
  <xr:revisionPtr revIDLastSave="0" documentId="13_ncr:1_{0A6192DD-BF23-4699-92B6-F2E1BE779B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Patient_Data!$K$2:$K$41</definedName>
    <definedName name="Department">Patient_Data!$E$2:$E$41</definedName>
    <definedName name="Patient_Data">Patient_Data!$A$1:$W$41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1" i="1"/>
  <c r="H52" i="1"/>
  <c r="H50" i="1"/>
  <c r="H49" i="1"/>
  <c r="H48" i="1"/>
  <c r="H4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2" i="1"/>
  <c r="N33" i="1"/>
  <c r="N34" i="1"/>
  <c r="N35" i="1"/>
  <c r="N36" i="1"/>
  <c r="N37" i="1"/>
  <c r="N38" i="1"/>
  <c r="N39" i="1"/>
  <c r="N40" i="1"/>
  <c r="N4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</calcChain>
</file>

<file path=xl/sharedStrings.xml><?xml version="1.0" encoding="utf-8"?>
<sst xmlns="http://schemas.openxmlformats.org/spreadsheetml/2006/main" count="468" uniqueCount="234">
  <si>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</si>
  <si>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</si>
  <si>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</si>
  <si>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</si>
  <si>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</si>
  <si>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</si>
  <si>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</si>
  <si>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</si>
  <si>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</si>
  <si>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</si>
  <si>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</si>
  <si>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</si>
  <si>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</si>
  <si>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</si>
  <si>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</si>
  <si>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</si>
  <si>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</si>
  <si>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</si>
  <si>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</si>
  <si>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</si>
  <si>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</si>
  <si>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</si>
  <si>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</si>
  <si>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</si>
  <si>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</si>
  <si>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</si>
  <si>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</si>
  <si>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</si>
  <si>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</si>
  <si>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</si>
  <si>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</si>
  <si>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</si>
  <si>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</si>
  <si>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</si>
  <si>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</si>
  <si>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</si>
  <si>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</si>
  <si>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</si>
  <si>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</si>
  <si>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</si>
  <si>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</si>
  <si>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</si>
  <si>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</si>
  <si>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</si>
  <si>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</si>
  <si>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</si>
  <si>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</si>
  <si>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</si>
  <si>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</si>
  <si>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</si>
  <si>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</si>
  <si>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</si>
  <si>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</si>
  <si>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</si>
  <si>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</si>
  <si>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</si>
  <si>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</si>
  <si>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</si>
  <si>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</si>
  <si>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</si>
  <si>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</si>
  <si>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</si>
  <si>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</si>
  <si>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</si>
  <si>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</si>
  <si>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</si>
  <si>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</si>
  <si>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</si>
  <si>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</si>
  <si>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</si>
  <si>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</si>
  <si>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</si>
  <si>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</si>
  <si>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</si>
  <si>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</si>
  <si>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</si>
  <si>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</si>
  <si>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</si>
  <si>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</si>
  <si>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</si>
  <si>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</si>
  <si>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</si>
  <si>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</si>
  <si>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</si>
  <si>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</si>
  <si>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</si>
  <si>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</si>
  <si>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</si>
  <si>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</si>
  <si>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</si>
  <si>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</si>
  <si>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</si>
  <si>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</si>
  <si>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</si>
  <si>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</si>
  <si>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</si>
  <si>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</si>
  <si>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</si>
  <si>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</si>
  <si>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</si>
  <si>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</si>
  <si>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</si>
  <si>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</si>
  <si>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</si>
  <si>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</si>
  <si>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</si>
  <si>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</si>
  <si>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</si>
  <si>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</si>
  <si>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</si>
  <si>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</si>
  <si>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</si>
  <si>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</si>
  <si>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</si>
  <si>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</si>
  <si>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</si>
  <si>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</si>
  <si>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</si>
  <si>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</si>
  <si>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</si>
  <si>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</si>
  <si>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</si>
  <si>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</si>
  <si>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</si>
  <si>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</si>
  <si>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</si>
  <si>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</si>
  <si>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</si>
  <si>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</si>
  <si>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</si>
  <si>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</si>
  <si>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</si>
  <si>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</si>
  <si>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</si>
  <si>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</si>
  <si>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</si>
  <si>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</si>
  <si>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</si>
  <si>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Find total billing for Cardialogy department.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</si>
  <si>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</si>
  <si>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</si>
  <si>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</si>
  <si>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</si>
  <si>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</si>
  <si>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</si>
  <si>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</si>
  <si>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</si>
  <si>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</si>
  <si>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</si>
  <si>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</si>
  <si>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</si>
  <si>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</si>
  <si>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</si>
  <si>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</si>
  <si>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</si>
  <si>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</si>
  <si>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</si>
  <si>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</si>
  <si>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</si>
  <si>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</si>
  <si>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</si>
  <si>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</si>
  <si>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</si>
  <si>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</si>
  <si>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</si>
  <si>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</si>
  <si>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</si>
  <si>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</si>
  <si>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</si>
  <si>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</si>
  <si>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</si>
  <si>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</si>
  <si>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</si>
  <si>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</si>
  <si>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</si>
  <si>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</si>
  <si>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</si>
  <si>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</si>
  <si>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</si>
  <si>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</si>
  <si>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</si>
  <si>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</si>
  <si>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</si>
  <si>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</si>
  <si>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</si>
  <si>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</si>
  <si>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</si>
  <si>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</si>
  <si>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</si>
  <si>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</si>
  <si>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</si>
  <si>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</si>
  <si>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</si>
  <si>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</si>
  <si>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</si>
  <si>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</si>
  <si>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</si>
  <si>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</si>
  <si>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</si>
  <si>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</si>
  <si>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</si>
  <si>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</si>
  <si>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</si>
  <si>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</si>
  <si>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</si>
  <si>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</si>
  <si>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</si>
  <si>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</si>
  <si>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</si>
  <si>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</si>
  <si>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</si>
  <si>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</si>
  <si>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</si>
  <si>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</si>
  <si>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</si>
  <si>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</si>
  <si>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</si>
  <si>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</si>
  <si>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</si>
  <si>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</si>
  <si>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</si>
  <si>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</si>
  <si>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</si>
  <si>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</si>
  <si>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</si>
  <si>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Payment Alert</t>
  </si>
  <si>
    <t>Case</t>
  </si>
  <si>
    <t>Bill_category</t>
  </si>
  <si>
    <t>Age_Category</t>
  </si>
  <si>
    <t>Urgent_FollowUp</t>
  </si>
  <si>
    <t>Specific_Department</t>
  </si>
  <si>
    <t>Payment</t>
  </si>
  <si>
    <t>Risk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</si>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</sst>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topLeftCell="E54" zoomScaleNormal="100" workbookViewId="0">
      <selection activeCell="J48" sqref="J48"/>
    </sheetView>
  </sheetViews>
  <sheetFormatPr defaultRowHeight="14.5"/>
  <cols>
    <col min="1" max="1" width="10.08984375" customWidth="1"/>
    <col min="2" max="2" width="16.1796875" customWidth="1"/>
    <col min="5" max="5" width="19.81640625" customWidth="1"/>
    <col min="6" max="6" width="15.90625" customWidth="1"/>
    <col min="7" max="7" width="18.36328125" customWidth="1"/>
    <col min="8" max="8" width="23" customWidth="1"/>
    <col min="9" max="9" width="16.6328125" customWidth="1"/>
    <col min="10" max="10" width="19.54296875" customWidth="1"/>
    <col min="11" max="11" width="16.90625" customWidth="1"/>
    <col min="12" max="12" width="18.453125" customWidth="1"/>
    <col min="13" max="13" width="16.453125" customWidth="1"/>
    <col min="14" max="14" width="15.453125" customWidth="1"/>
    <col min="15" max="15" width="14.81640625" customWidth="1"/>
    <col min="16" max="16" width="21.1796875" customWidth="1"/>
    <col min="17" max="17" width="12.7265625" customWidth="1"/>
    <col min="18" max="18" width="17.36328125" customWidth="1"/>
    <col min="19" max="19" width="23.81640625" customWidth="1"/>
    <col min="20" max="20" width="18.08984375" customWidth="1"/>
    <col min="21" max="21" width="19.90625" customWidth="1"/>
    <col min="22" max="22" width="22" customWidth="1"/>
    <col min="23" max="23" width="17.08984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6" t="s">
        <v>225</v>
      </c>
      <c r="O1" s="16" t="s">
        <v>227</v>
      </c>
      <c r="P1" s="16" t="s">
        <v>228</v>
      </c>
      <c r="Q1" s="16" t="s">
        <v>226</v>
      </c>
      <c r="R1" s="16" t="s">
        <v>229</v>
      </c>
      <c r="S1" s="13" t="s">
        <v>230</v>
      </c>
      <c r="T1" s="13" t="s">
        <v>231</v>
      </c>
      <c r="U1" s="13" t="s">
        <v>227</v>
      </c>
      <c r="V1" s="13" t="s">
        <v>232</v>
      </c>
      <c r="W1" s="13" t="s">
        <v>233</v>
      </c>
    </row>
    <row r="2" spans="1:23">
      <c r="A2" s="14" t="s">
        <v>13</v>
      </c>
      <c r="B2" s="14" t="s">
        <v>53</v>
      </c>
      <c r="C2" s="14">
        <v>34</v>
      </c>
      <c r="D2" s="14" t="s">
        <v>93</v>
      </c>
      <c r="E2" s="14" t="s">
        <v>95</v>
      </c>
      <c r="F2" s="14" t="s">
        <v>100</v>
      </c>
      <c r="G2" s="15">
        <v>46027</v>
      </c>
      <c r="H2" s="15">
        <v>46030</v>
      </c>
      <c r="I2" s="14" t="s">
        <v>113</v>
      </c>
      <c r="J2" s="14" t="s">
        <v>118</v>
      </c>
      <c r="K2" s="14">
        <v>18500</v>
      </c>
      <c r="L2" s="14" t="s">
        <v>121</v>
      </c>
      <c r="M2" s="14">
        <v>3</v>
      </c>
      <c r="N2" s="14" t="str">
        <f>IF(L1="Pending","Foolow-Up","No-Action")</f>
        <v>No-Action</v>
      </c>
      <c r="O2" s="14" t="str">
        <f>IF(K2&gt;40000,"High Bill","Normal Bill")</f>
        <v>Normal Bill</v>
      </c>
      <c r="P2" s="14" t="str">
        <f>IF(C2&gt;=60,"Senior-citizen","Non Senior -Citizen")</f>
        <v>Non Senior -Citizen</v>
      </c>
      <c r="Q2" s="14" t="str">
        <f>IF(AND(K2&gt;40000,M2&gt;5),"HBC","NHBC")</f>
        <v>NHBC</v>
      </c>
      <c r="R2" s="14" t="str">
        <f>IF(AND(L2="Pending",K2&gt;30000),"UFU","No Need")</f>
        <v>No Need</v>
      </c>
      <c r="S2" s="14" t="str">
        <f>IF(OR(E2="Cardiology",E2="Neurology"),"PD","RD")</f>
        <v>PD</v>
      </c>
      <c r="T2" s="14" t="str">
        <f>IF(NOT(L2="Pending"),"NP","PP")</f>
        <v>NP</v>
      </c>
      <c r="U2" s="14" t="str">
        <f>IF(K2&gt;=50000,"VH",IF(K2&gt;=30000,"High",IF(K2&gt;=15000,"Medium","Low")))</f>
        <v>Medium</v>
      </c>
      <c r="V2" s="14" t="str">
        <f>IF(AND(K2&gt;40000,L2="Pending"),"HFR","Normal")</f>
        <v>Normal</v>
      </c>
      <c r="W2" s="14" t="str">
        <f>IF(AND(K2&gt;30000,OR(E2="Cardiology",E2="Orthopedics")),"MR","NR")</f>
        <v>NR</v>
      </c>
    </row>
    <row r="3" spans="1:23">
      <c r="A3" s="14" t="s">
        <v>14</v>
      </c>
      <c r="B3" s="14" t="s">
        <v>54</v>
      </c>
      <c r="C3" s="14">
        <v>52</v>
      </c>
      <c r="D3" s="14" t="s">
        <v>94</v>
      </c>
      <c r="E3" s="14" t="s">
        <v>96</v>
      </c>
      <c r="F3" s="14" t="s">
        <v>101</v>
      </c>
      <c r="G3" s="15">
        <v>46029</v>
      </c>
      <c r="H3" s="15">
        <v>46037</v>
      </c>
      <c r="I3" s="14" t="s">
        <v>114</v>
      </c>
      <c r="J3" s="14" t="s">
        <v>119</v>
      </c>
      <c r="K3" s="14">
        <v>42000</v>
      </c>
      <c r="L3" s="14" t="s">
        <v>121</v>
      </c>
      <c r="M3" s="14">
        <v>8</v>
      </c>
      <c r="N3" s="14" t="str">
        <f t="shared" ref="N3:N41" si="0">IF(L2="Pending","Foolow-Up","No-Action")</f>
        <v>No-Action</v>
      </c>
      <c r="O3" s="14" t="str">
        <f t="shared" ref="O3:O41" si="1">IF(K3&gt;40000,"High Bill","Normal Bill")</f>
        <v>High Bill</v>
      </c>
      <c r="P3" s="14" t="str">
        <f t="shared" ref="P3:P41" si="2">IF(C3&gt;=60,"Senior-citizen","Non Senior -Citizen")</f>
        <v>Non Senior -Citizen</v>
      </c>
      <c r="Q3" s="14" t="str">
        <f t="shared" ref="Q3:Q41" si="3">IF(AND(K3&gt;40000,M3&gt;5),"HBC","NHBC")</f>
        <v>HBC</v>
      </c>
      <c r="R3" s="14" t="str">
        <f t="shared" ref="R3:R41" si="4">IF(AND(L3="Pending",K3&gt;30000),"UPFU","No Need")</f>
        <v>No Need</v>
      </c>
      <c r="S3" s="14" t="str">
        <f t="shared" ref="S3:S41" si="5">IF(OR(E3="Cardiology",E3="Neurology"),"PD","RD")</f>
        <v>RD</v>
      </c>
      <c r="T3" s="14" t="str">
        <f t="shared" ref="T3:T41" si="6">IF(NOT(L3="Pending"),"NP","PP")</f>
        <v>NP</v>
      </c>
      <c r="U3" s="14" t="str">
        <f t="shared" ref="U3:U41" si="7">IF(K3&gt;=50000,"VH",IF(K3&gt;=30000,"High",IF(K3&gt;=15000,"Medium","Low")))</f>
        <v>High</v>
      </c>
      <c r="V3" s="14" t="str">
        <f t="shared" ref="V3:V41" si="8">IF(AND(K3&gt;40000,L3="Pending"),"HFR","Normal")</f>
        <v>Normal</v>
      </c>
      <c r="W3" s="14" t="str">
        <f t="shared" ref="W3:W41" si="9">IF(AND(K3&gt;30000,OR(E3="Cardiology",E3="Orthopedics")),"MR","NR")</f>
        <v>MR</v>
      </c>
    </row>
    <row r="4" spans="1:23">
      <c r="A4" s="14" t="s">
        <v>15</v>
      </c>
      <c r="B4" s="14" t="s">
        <v>55</v>
      </c>
      <c r="C4" s="14">
        <v>28</v>
      </c>
      <c r="D4" s="14" t="s">
        <v>93</v>
      </c>
      <c r="E4" s="14" t="s">
        <v>97</v>
      </c>
      <c r="F4" s="14" t="s">
        <v>102</v>
      </c>
      <c r="G4" s="15">
        <v>46032</v>
      </c>
      <c r="H4" s="15">
        <v>46035</v>
      </c>
      <c r="I4" s="14" t="s">
        <v>115</v>
      </c>
      <c r="J4" s="14" t="s">
        <v>118</v>
      </c>
      <c r="K4" s="14">
        <v>12000</v>
      </c>
      <c r="L4" s="14" t="s">
        <v>121</v>
      </c>
      <c r="M4" s="14">
        <v>3</v>
      </c>
      <c r="N4" s="14" t="str">
        <f t="shared" si="0"/>
        <v>No-Action</v>
      </c>
      <c r="O4" s="14" t="str">
        <f t="shared" si="1"/>
        <v>Normal Bill</v>
      </c>
      <c r="P4" s="14" t="str">
        <f t="shared" si="2"/>
        <v>Non Senior -Citizen</v>
      </c>
      <c r="Q4" s="14" t="str">
        <f t="shared" si="3"/>
        <v>NHBC</v>
      </c>
      <c r="R4" s="14" t="str">
        <f t="shared" si="4"/>
        <v>No Need</v>
      </c>
      <c r="S4" s="14" t="str">
        <f t="shared" si="5"/>
        <v>RD</v>
      </c>
      <c r="T4" s="14" t="str">
        <f t="shared" si="6"/>
        <v>NP</v>
      </c>
      <c r="U4" s="14" t="str">
        <f t="shared" si="7"/>
        <v>Low</v>
      </c>
      <c r="V4" s="14" t="str">
        <f t="shared" si="8"/>
        <v>Normal</v>
      </c>
      <c r="W4" s="14" t="str">
        <f t="shared" si="9"/>
        <v>NR</v>
      </c>
    </row>
    <row r="5" spans="1:23">
      <c r="A5" s="14" t="s">
        <v>16</v>
      </c>
      <c r="B5" s="14" t="s">
        <v>56</v>
      </c>
      <c r="C5" s="14">
        <v>45</v>
      </c>
      <c r="D5" s="14" t="s">
        <v>94</v>
      </c>
      <c r="E5" s="14" t="s">
        <v>95</v>
      </c>
      <c r="F5" s="14" t="s">
        <v>103</v>
      </c>
      <c r="G5" s="15">
        <v>46034</v>
      </c>
      <c r="H5" s="15">
        <v>46039</v>
      </c>
      <c r="I5" s="14" t="s">
        <v>113</v>
      </c>
      <c r="J5" s="14" t="s">
        <v>120</v>
      </c>
      <c r="K5" s="14">
        <v>27500</v>
      </c>
      <c r="L5" s="14" t="s">
        <v>122</v>
      </c>
      <c r="M5" s="14">
        <v>5</v>
      </c>
      <c r="N5" s="14" t="str">
        <f t="shared" si="0"/>
        <v>No-Action</v>
      </c>
      <c r="O5" s="14" t="str">
        <f t="shared" si="1"/>
        <v>Normal Bill</v>
      </c>
      <c r="P5" s="14" t="str">
        <f t="shared" si="2"/>
        <v>Non Senior -Citizen</v>
      </c>
      <c r="Q5" s="14" t="str">
        <f t="shared" si="3"/>
        <v>NHBC</v>
      </c>
      <c r="R5" s="14" t="str">
        <f t="shared" si="4"/>
        <v>No Need</v>
      </c>
      <c r="S5" s="14" t="str">
        <f t="shared" si="5"/>
        <v>PD</v>
      </c>
      <c r="T5" s="14" t="str">
        <f t="shared" si="6"/>
        <v>PP</v>
      </c>
      <c r="U5" s="14" t="str">
        <f t="shared" si="7"/>
        <v>Medium</v>
      </c>
      <c r="V5" s="14" t="str">
        <f t="shared" si="8"/>
        <v>Normal</v>
      </c>
      <c r="W5" s="14" t="str">
        <f t="shared" si="9"/>
        <v>NR</v>
      </c>
    </row>
    <row r="6" spans="1:23">
      <c r="A6" s="14" t="s">
        <v>17</v>
      </c>
      <c r="B6" s="14" t="s">
        <v>57</v>
      </c>
      <c r="C6" s="14">
        <v>67</v>
      </c>
      <c r="D6" s="14" t="s">
        <v>93</v>
      </c>
      <c r="E6" s="14" t="s">
        <v>98</v>
      </c>
      <c r="F6" s="14" t="s">
        <v>104</v>
      </c>
      <c r="G6" s="15">
        <v>46037</v>
      </c>
      <c r="H6" s="15">
        <v>46040</v>
      </c>
      <c r="I6" s="14" t="s">
        <v>116</v>
      </c>
      <c r="J6" s="14" t="s">
        <v>119</v>
      </c>
      <c r="K6" s="14">
        <v>16000</v>
      </c>
      <c r="L6" s="14" t="s">
        <v>121</v>
      </c>
      <c r="M6" s="14">
        <v>3</v>
      </c>
      <c r="N6" s="14" t="str">
        <f t="shared" si="0"/>
        <v>Foolow-Up</v>
      </c>
      <c r="O6" s="14" t="str">
        <f t="shared" si="1"/>
        <v>Normal Bill</v>
      </c>
      <c r="P6" s="14" t="str">
        <f t="shared" si="2"/>
        <v>Senior-citizen</v>
      </c>
      <c r="Q6" s="14" t="str">
        <f t="shared" si="3"/>
        <v>NHBC</v>
      </c>
      <c r="R6" s="14" t="str">
        <f t="shared" si="4"/>
        <v>No Need</v>
      </c>
      <c r="S6" s="14" t="str">
        <f t="shared" si="5"/>
        <v>PD</v>
      </c>
      <c r="T6" s="14" t="str">
        <f t="shared" si="6"/>
        <v>NP</v>
      </c>
      <c r="U6" s="14" t="str">
        <f t="shared" si="7"/>
        <v>Medium</v>
      </c>
      <c r="V6" s="14" t="str">
        <f t="shared" si="8"/>
        <v>Normal</v>
      </c>
      <c r="W6" s="14" t="str">
        <f t="shared" si="9"/>
        <v>NR</v>
      </c>
    </row>
    <row r="7" spans="1:23">
      <c r="A7" s="14" t="s">
        <v>18</v>
      </c>
      <c r="B7" s="14" t="s">
        <v>58</v>
      </c>
      <c r="C7" s="14">
        <v>39</v>
      </c>
      <c r="D7" s="14" t="s">
        <v>94</v>
      </c>
      <c r="E7" s="14" t="s">
        <v>97</v>
      </c>
      <c r="F7" s="14" t="s">
        <v>105</v>
      </c>
      <c r="G7" s="15">
        <v>46040</v>
      </c>
      <c r="H7" s="15">
        <v>46042</v>
      </c>
      <c r="I7" s="14" t="s">
        <v>115</v>
      </c>
      <c r="J7" s="14" t="s">
        <v>118</v>
      </c>
      <c r="K7" s="14">
        <v>9500</v>
      </c>
      <c r="L7" s="14" t="s">
        <v>121</v>
      </c>
      <c r="M7" s="14">
        <v>2</v>
      </c>
      <c r="N7" s="14" t="str">
        <f t="shared" si="0"/>
        <v>No-Action</v>
      </c>
      <c r="O7" s="14" t="str">
        <f t="shared" si="1"/>
        <v>Normal Bill</v>
      </c>
      <c r="P7" s="14" t="str">
        <f t="shared" si="2"/>
        <v>Non Senior -Citizen</v>
      </c>
      <c r="Q7" s="14" t="str">
        <f t="shared" si="3"/>
        <v>NHBC</v>
      </c>
      <c r="R7" s="14" t="str">
        <f t="shared" si="4"/>
        <v>No Need</v>
      </c>
      <c r="S7" s="14" t="str">
        <f t="shared" si="5"/>
        <v>RD</v>
      </c>
      <c r="T7" s="14" t="str">
        <f t="shared" si="6"/>
        <v>NP</v>
      </c>
      <c r="U7" s="14" t="str">
        <f t="shared" si="7"/>
        <v>Low</v>
      </c>
      <c r="V7" s="14" t="str">
        <f t="shared" si="8"/>
        <v>Normal</v>
      </c>
      <c r="W7" s="14" t="str">
        <f t="shared" si="9"/>
        <v>NR</v>
      </c>
    </row>
    <row r="8" spans="1:23">
      <c r="A8" s="14" t="s">
        <v>19</v>
      </c>
      <c r="B8" s="14" t="s">
        <v>59</v>
      </c>
      <c r="C8" s="14">
        <v>73</v>
      </c>
      <c r="D8" s="14" t="s">
        <v>93</v>
      </c>
      <c r="E8" s="14" t="s">
        <v>95</v>
      </c>
      <c r="F8" s="14" t="s">
        <v>106</v>
      </c>
      <c r="G8" s="15">
        <v>46042</v>
      </c>
      <c r="H8" s="15">
        <v>46051</v>
      </c>
      <c r="I8" s="14" t="s">
        <v>113</v>
      </c>
      <c r="J8" s="14" t="s">
        <v>119</v>
      </c>
      <c r="K8" s="14">
        <v>68000</v>
      </c>
      <c r="L8" s="14" t="s">
        <v>122</v>
      </c>
      <c r="M8" s="14">
        <v>9</v>
      </c>
      <c r="N8" s="14" t="str">
        <f t="shared" si="0"/>
        <v>No-Action</v>
      </c>
      <c r="O8" s="14" t="str">
        <f t="shared" si="1"/>
        <v>High Bill</v>
      </c>
      <c r="P8" s="14" t="str">
        <f t="shared" si="2"/>
        <v>Senior-citizen</v>
      </c>
      <c r="Q8" s="14" t="str">
        <f t="shared" si="3"/>
        <v>HBC</v>
      </c>
      <c r="R8" s="14" t="str">
        <f t="shared" si="4"/>
        <v>UPFU</v>
      </c>
      <c r="S8" s="14" t="str">
        <f t="shared" si="5"/>
        <v>PD</v>
      </c>
      <c r="T8" s="14" t="str">
        <f t="shared" si="6"/>
        <v>PP</v>
      </c>
      <c r="U8" s="14" t="str">
        <f t="shared" si="7"/>
        <v>VH</v>
      </c>
      <c r="V8" s="14" t="str">
        <f t="shared" si="8"/>
        <v>HFR</v>
      </c>
      <c r="W8" s="14" t="str">
        <f t="shared" si="9"/>
        <v>MR</v>
      </c>
    </row>
    <row r="9" spans="1:23">
      <c r="A9" s="14" t="s">
        <v>20</v>
      </c>
      <c r="B9" s="14" t="s">
        <v>60</v>
      </c>
      <c r="C9" s="14">
        <v>31</v>
      </c>
      <c r="D9" s="14" t="s">
        <v>94</v>
      </c>
      <c r="E9" s="14" t="s">
        <v>99</v>
      </c>
      <c r="F9" s="14" t="s">
        <v>107</v>
      </c>
      <c r="G9" s="15">
        <v>46044</v>
      </c>
      <c r="H9" s="15">
        <v>46046</v>
      </c>
      <c r="I9" s="14" t="s">
        <v>117</v>
      </c>
      <c r="J9" s="14" t="s">
        <v>120</v>
      </c>
      <c r="K9" s="14">
        <v>7500</v>
      </c>
      <c r="L9" s="14" t="s">
        <v>121</v>
      </c>
      <c r="M9" s="14">
        <v>2</v>
      </c>
      <c r="N9" s="14" t="str">
        <f t="shared" si="0"/>
        <v>Foolow-Up</v>
      </c>
      <c r="O9" s="14" t="str">
        <f t="shared" si="1"/>
        <v>Normal Bill</v>
      </c>
      <c r="P9" s="14" t="str">
        <f t="shared" si="2"/>
        <v>Non Senior -Citizen</v>
      </c>
      <c r="Q9" s="14" t="str">
        <f t="shared" si="3"/>
        <v>NHBC</v>
      </c>
      <c r="R9" s="14" t="str">
        <f t="shared" si="4"/>
        <v>No Need</v>
      </c>
      <c r="S9" s="14" t="str">
        <f t="shared" si="5"/>
        <v>RD</v>
      </c>
      <c r="T9" s="14" t="str">
        <f t="shared" si="6"/>
        <v>NP</v>
      </c>
      <c r="U9" s="14" t="str">
        <f t="shared" si="7"/>
        <v>Low</v>
      </c>
      <c r="V9" s="14" t="str">
        <f t="shared" si="8"/>
        <v>Normal</v>
      </c>
      <c r="W9" s="14" t="str">
        <f t="shared" si="9"/>
        <v>NR</v>
      </c>
    </row>
    <row r="10" spans="1:23">
      <c r="A10" s="14" t="s">
        <v>21</v>
      </c>
      <c r="B10" s="14" t="s">
        <v>61</v>
      </c>
      <c r="C10" s="14">
        <v>56</v>
      </c>
      <c r="D10" s="14" t="s">
        <v>93</v>
      </c>
      <c r="E10" s="14" t="s">
        <v>96</v>
      </c>
      <c r="F10" s="14" t="s">
        <v>108</v>
      </c>
      <c r="G10" s="15">
        <v>46047</v>
      </c>
      <c r="H10" s="15">
        <v>46052</v>
      </c>
      <c r="I10" s="14" t="s">
        <v>114</v>
      </c>
      <c r="J10" s="14" t="s">
        <v>118</v>
      </c>
      <c r="K10" s="14">
        <v>24000</v>
      </c>
      <c r="L10" s="14" t="s">
        <v>121</v>
      </c>
      <c r="M10" s="14">
        <v>5</v>
      </c>
      <c r="N10" s="14" t="str">
        <f t="shared" si="0"/>
        <v>No-Action</v>
      </c>
      <c r="O10" s="14" t="str">
        <f t="shared" si="1"/>
        <v>Normal Bill</v>
      </c>
      <c r="P10" s="14" t="str">
        <f t="shared" si="2"/>
        <v>Non Senior -Citizen</v>
      </c>
      <c r="Q10" s="14" t="str">
        <f t="shared" si="3"/>
        <v>NHBC</v>
      </c>
      <c r="R10" s="14" t="str">
        <f t="shared" si="4"/>
        <v>No Need</v>
      </c>
      <c r="S10" s="14" t="str">
        <f t="shared" si="5"/>
        <v>RD</v>
      </c>
      <c r="T10" s="14" t="str">
        <f t="shared" si="6"/>
        <v>NP</v>
      </c>
      <c r="U10" s="14" t="str">
        <f t="shared" si="7"/>
        <v>Medium</v>
      </c>
      <c r="V10" s="14" t="str">
        <f t="shared" si="8"/>
        <v>Normal</v>
      </c>
      <c r="W10" s="14" t="str">
        <f t="shared" si="9"/>
        <v>NR</v>
      </c>
    </row>
    <row r="11" spans="1:23">
      <c r="A11" s="14" t="s">
        <v>22</v>
      </c>
      <c r="B11" s="14" t="s">
        <v>62</v>
      </c>
      <c r="C11" s="14">
        <v>24</v>
      </c>
      <c r="D11" s="14" t="s">
        <v>94</v>
      </c>
      <c r="E11" s="14" t="s">
        <v>97</v>
      </c>
      <c r="F11" s="14" t="s">
        <v>109</v>
      </c>
      <c r="G11" s="15">
        <v>46050</v>
      </c>
      <c r="H11" s="15">
        <v>46052</v>
      </c>
      <c r="I11" s="14" t="s">
        <v>115</v>
      </c>
      <c r="J11" s="14" t="s">
        <v>120</v>
      </c>
      <c r="K11" s="14">
        <v>6500</v>
      </c>
      <c r="L11" s="14" t="s">
        <v>121</v>
      </c>
      <c r="M11" s="14">
        <v>2</v>
      </c>
      <c r="N11" s="14" t="str">
        <f t="shared" si="0"/>
        <v>No-Action</v>
      </c>
      <c r="O11" s="14" t="str">
        <f t="shared" si="1"/>
        <v>Normal Bill</v>
      </c>
      <c r="P11" s="14" t="str">
        <f t="shared" si="2"/>
        <v>Non Senior -Citizen</v>
      </c>
      <c r="Q11" s="14" t="str">
        <f t="shared" si="3"/>
        <v>NHBC</v>
      </c>
      <c r="R11" s="14" t="str">
        <f t="shared" si="4"/>
        <v>No Need</v>
      </c>
      <c r="S11" s="14" t="str">
        <f t="shared" si="5"/>
        <v>RD</v>
      </c>
      <c r="T11" s="14" t="str">
        <f t="shared" si="6"/>
        <v>NP</v>
      </c>
      <c r="U11" s="14" t="str">
        <f t="shared" si="7"/>
        <v>Low</v>
      </c>
      <c r="V11" s="14" t="str">
        <f t="shared" si="8"/>
        <v>Normal</v>
      </c>
      <c r="W11" s="14" t="str">
        <f t="shared" si="9"/>
        <v>NR</v>
      </c>
    </row>
    <row r="12" spans="1:23">
      <c r="A12" s="14" t="s">
        <v>23</v>
      </c>
      <c r="B12" s="14" t="s">
        <v>63</v>
      </c>
      <c r="C12" s="14">
        <v>61</v>
      </c>
      <c r="D12" s="14" t="s">
        <v>93</v>
      </c>
      <c r="E12" s="14" t="s">
        <v>95</v>
      </c>
      <c r="F12" s="14" t="s">
        <v>100</v>
      </c>
      <c r="G12" s="15">
        <v>46055</v>
      </c>
      <c r="H12" s="15">
        <v>46059</v>
      </c>
      <c r="I12" s="14" t="s">
        <v>113</v>
      </c>
      <c r="J12" s="14" t="s">
        <v>118</v>
      </c>
      <c r="K12" s="14">
        <v>22000</v>
      </c>
      <c r="L12" s="14" t="s">
        <v>121</v>
      </c>
      <c r="M12" s="14">
        <v>4</v>
      </c>
      <c r="N12" s="14" t="str">
        <f t="shared" si="0"/>
        <v>No-Action</v>
      </c>
      <c r="O12" s="14" t="str">
        <f t="shared" si="1"/>
        <v>Normal Bill</v>
      </c>
      <c r="P12" s="14" t="str">
        <f t="shared" si="2"/>
        <v>Senior-citizen</v>
      </c>
      <c r="Q12" s="14" t="str">
        <f t="shared" si="3"/>
        <v>NHBC</v>
      </c>
      <c r="R12" s="14" t="str">
        <f t="shared" si="4"/>
        <v>No Need</v>
      </c>
      <c r="S12" s="14" t="str">
        <f t="shared" si="5"/>
        <v>PD</v>
      </c>
      <c r="T12" s="14" t="str">
        <f t="shared" si="6"/>
        <v>NP</v>
      </c>
      <c r="U12" s="14" t="str">
        <f t="shared" si="7"/>
        <v>Medium</v>
      </c>
      <c r="V12" s="14" t="str">
        <f t="shared" si="8"/>
        <v>Normal</v>
      </c>
      <c r="W12" s="14" t="str">
        <f t="shared" si="9"/>
        <v>NR</v>
      </c>
    </row>
    <row r="13" spans="1:23">
      <c r="A13" s="14" t="s">
        <v>24</v>
      </c>
      <c r="B13" s="14" t="s">
        <v>64</v>
      </c>
      <c r="C13" s="14">
        <v>48</v>
      </c>
      <c r="D13" s="14" t="s">
        <v>94</v>
      </c>
      <c r="E13" s="14" t="s">
        <v>98</v>
      </c>
      <c r="F13" s="14" t="s">
        <v>110</v>
      </c>
      <c r="G13" s="15">
        <v>46057</v>
      </c>
      <c r="H13" s="15">
        <v>46064</v>
      </c>
      <c r="I13" s="14" t="s">
        <v>116</v>
      </c>
      <c r="J13" s="14" t="s">
        <v>119</v>
      </c>
      <c r="K13" s="14">
        <v>39000</v>
      </c>
      <c r="L13" s="14" t="s">
        <v>122</v>
      </c>
      <c r="M13" s="14">
        <v>7</v>
      </c>
      <c r="N13" s="14" t="str">
        <f t="shared" si="0"/>
        <v>No-Action</v>
      </c>
      <c r="O13" s="14" t="str">
        <f t="shared" si="1"/>
        <v>Normal Bill</v>
      </c>
      <c r="P13" s="14" t="str">
        <f t="shared" si="2"/>
        <v>Non Senior -Citizen</v>
      </c>
      <c r="Q13" s="14" t="str">
        <f t="shared" si="3"/>
        <v>NHBC</v>
      </c>
      <c r="R13" s="14" t="str">
        <f t="shared" si="4"/>
        <v>UPFU</v>
      </c>
      <c r="S13" s="14" t="str">
        <f t="shared" si="5"/>
        <v>PD</v>
      </c>
      <c r="T13" s="14" t="str">
        <f t="shared" si="6"/>
        <v>PP</v>
      </c>
      <c r="U13" s="14" t="str">
        <f t="shared" si="7"/>
        <v>High</v>
      </c>
      <c r="V13" s="14" t="str">
        <f t="shared" si="8"/>
        <v>Normal</v>
      </c>
      <c r="W13" s="14" t="str">
        <f t="shared" si="9"/>
        <v>NR</v>
      </c>
    </row>
    <row r="14" spans="1:23">
      <c r="A14" s="14" t="s">
        <v>25</v>
      </c>
      <c r="B14" s="14" t="s">
        <v>65</v>
      </c>
      <c r="C14" s="14">
        <v>36</v>
      </c>
      <c r="D14" s="14" t="s">
        <v>93</v>
      </c>
      <c r="E14" s="14" t="s">
        <v>96</v>
      </c>
      <c r="F14" s="14" t="s">
        <v>111</v>
      </c>
      <c r="G14" s="15">
        <v>46059</v>
      </c>
      <c r="H14" s="15">
        <v>46062</v>
      </c>
      <c r="I14" s="14" t="s">
        <v>114</v>
      </c>
      <c r="J14" s="14" t="s">
        <v>120</v>
      </c>
      <c r="K14" s="14">
        <v>14500</v>
      </c>
      <c r="L14" s="14" t="s">
        <v>121</v>
      </c>
      <c r="M14" s="14">
        <v>3</v>
      </c>
      <c r="N14" s="14" t="str">
        <f t="shared" si="0"/>
        <v>Foolow-Up</v>
      </c>
      <c r="O14" s="14" t="str">
        <f t="shared" si="1"/>
        <v>Normal Bill</v>
      </c>
      <c r="P14" s="14" t="str">
        <f t="shared" si="2"/>
        <v>Non Senior -Citizen</v>
      </c>
      <c r="Q14" s="14" t="str">
        <f t="shared" si="3"/>
        <v>NHBC</v>
      </c>
      <c r="R14" s="14" t="str">
        <f t="shared" si="4"/>
        <v>No Need</v>
      </c>
      <c r="S14" s="14" t="str">
        <f t="shared" si="5"/>
        <v>RD</v>
      </c>
      <c r="T14" s="14" t="str">
        <f t="shared" si="6"/>
        <v>NP</v>
      </c>
      <c r="U14" s="14" t="str">
        <f t="shared" si="7"/>
        <v>Low</v>
      </c>
      <c r="V14" s="14" t="str">
        <f t="shared" si="8"/>
        <v>Normal</v>
      </c>
      <c r="W14" s="14" t="str">
        <f t="shared" si="9"/>
        <v>NR</v>
      </c>
    </row>
    <row r="15" spans="1:23">
      <c r="A15" s="14" t="s">
        <v>26</v>
      </c>
      <c r="B15" s="14" t="s">
        <v>66</v>
      </c>
      <c r="C15" s="14">
        <v>42</v>
      </c>
      <c r="D15" s="14" t="s">
        <v>94</v>
      </c>
      <c r="E15" s="14" t="s">
        <v>99</v>
      </c>
      <c r="F15" s="14" t="s">
        <v>112</v>
      </c>
      <c r="G15" s="15">
        <v>46061</v>
      </c>
      <c r="H15" s="15">
        <v>46065</v>
      </c>
      <c r="I15" s="14" t="s">
        <v>117</v>
      </c>
      <c r="J15" s="14" t="s">
        <v>118</v>
      </c>
      <c r="K15" s="14">
        <v>18000</v>
      </c>
      <c r="L15" s="14" t="s">
        <v>121</v>
      </c>
      <c r="M15" s="14">
        <v>4</v>
      </c>
      <c r="N15" s="14" t="str">
        <f t="shared" si="0"/>
        <v>No-Action</v>
      </c>
      <c r="O15" s="14" t="str">
        <f t="shared" si="1"/>
        <v>Normal Bill</v>
      </c>
      <c r="P15" s="14" t="str">
        <f t="shared" si="2"/>
        <v>Non Senior -Citizen</v>
      </c>
      <c r="Q15" s="14" t="str">
        <f t="shared" si="3"/>
        <v>NHBC</v>
      </c>
      <c r="R15" s="14" t="str">
        <f t="shared" si="4"/>
        <v>No Need</v>
      </c>
      <c r="S15" s="14" t="str">
        <f t="shared" si="5"/>
        <v>RD</v>
      </c>
      <c r="T15" s="14" t="str">
        <f t="shared" si="6"/>
        <v>NP</v>
      </c>
      <c r="U15" s="14" t="str">
        <f t="shared" si="7"/>
        <v>Medium</v>
      </c>
      <c r="V15" s="14" t="str">
        <f t="shared" si="8"/>
        <v>Normal</v>
      </c>
      <c r="W15" s="14" t="str">
        <f t="shared" si="9"/>
        <v>NR</v>
      </c>
    </row>
    <row r="16" spans="1:23">
      <c r="A16" s="14" t="s">
        <v>27</v>
      </c>
      <c r="B16" s="14" t="s">
        <v>67</v>
      </c>
      <c r="C16" s="14">
        <v>69</v>
      </c>
      <c r="D16" s="14" t="s">
        <v>93</v>
      </c>
      <c r="E16" s="14" t="s">
        <v>95</v>
      </c>
      <c r="F16" s="14" t="s">
        <v>106</v>
      </c>
      <c r="G16" s="15">
        <v>46063</v>
      </c>
      <c r="H16" s="15">
        <v>46073</v>
      </c>
      <c r="I16" s="14" t="s">
        <v>113</v>
      </c>
      <c r="J16" s="14" t="s">
        <v>119</v>
      </c>
      <c r="K16" s="14">
        <v>72000</v>
      </c>
      <c r="L16" s="14" t="s">
        <v>122</v>
      </c>
      <c r="M16" s="14">
        <v>10</v>
      </c>
      <c r="N16" s="14" t="str">
        <f t="shared" si="0"/>
        <v>No-Action</v>
      </c>
      <c r="O16" s="14" t="str">
        <f t="shared" si="1"/>
        <v>High Bill</v>
      </c>
      <c r="P16" s="14" t="str">
        <f t="shared" si="2"/>
        <v>Senior-citizen</v>
      </c>
      <c r="Q16" s="14" t="str">
        <f t="shared" si="3"/>
        <v>HBC</v>
      </c>
      <c r="R16" s="14" t="str">
        <f t="shared" si="4"/>
        <v>UPFU</v>
      </c>
      <c r="S16" s="14" t="str">
        <f t="shared" si="5"/>
        <v>PD</v>
      </c>
      <c r="T16" s="14" t="str">
        <f t="shared" si="6"/>
        <v>PP</v>
      </c>
      <c r="U16" s="14" t="str">
        <f t="shared" si="7"/>
        <v>VH</v>
      </c>
      <c r="V16" s="14" t="str">
        <f t="shared" si="8"/>
        <v>HFR</v>
      </c>
      <c r="W16" s="14" t="str">
        <f t="shared" si="9"/>
        <v>MR</v>
      </c>
    </row>
    <row r="17" spans="1:23">
      <c r="A17" s="14" t="s">
        <v>28</v>
      </c>
      <c r="B17" s="14" t="s">
        <v>68</v>
      </c>
      <c r="C17" s="14">
        <v>29</v>
      </c>
      <c r="D17" s="14" t="s">
        <v>94</v>
      </c>
      <c r="E17" s="14" t="s">
        <v>97</v>
      </c>
      <c r="F17" s="14" t="s">
        <v>102</v>
      </c>
      <c r="G17" s="15">
        <v>46065</v>
      </c>
      <c r="H17" s="15">
        <v>46068</v>
      </c>
      <c r="I17" s="14" t="s">
        <v>115</v>
      </c>
      <c r="J17" s="14" t="s">
        <v>120</v>
      </c>
      <c r="K17" s="14">
        <v>10500</v>
      </c>
      <c r="L17" s="14" t="s">
        <v>121</v>
      </c>
      <c r="M17" s="14">
        <v>3</v>
      </c>
      <c r="N17" s="14" t="str">
        <f t="shared" si="0"/>
        <v>Foolow-Up</v>
      </c>
      <c r="O17" s="14" t="str">
        <f t="shared" si="1"/>
        <v>Normal Bill</v>
      </c>
      <c r="P17" s="14" t="str">
        <f t="shared" si="2"/>
        <v>Non Senior -Citizen</v>
      </c>
      <c r="Q17" s="14" t="str">
        <f t="shared" si="3"/>
        <v>NHBC</v>
      </c>
      <c r="R17" s="14" t="str">
        <f t="shared" si="4"/>
        <v>No Need</v>
      </c>
      <c r="S17" s="14" t="str">
        <f t="shared" si="5"/>
        <v>RD</v>
      </c>
      <c r="T17" s="14" t="str">
        <f t="shared" si="6"/>
        <v>NP</v>
      </c>
      <c r="U17" s="14" t="str">
        <f t="shared" si="7"/>
        <v>Low</v>
      </c>
      <c r="V17" s="14" t="str">
        <f t="shared" si="8"/>
        <v>Normal</v>
      </c>
      <c r="W17" s="14" t="str">
        <f t="shared" si="9"/>
        <v>NR</v>
      </c>
    </row>
    <row r="18" spans="1:23">
      <c r="A18" s="14" t="s">
        <v>29</v>
      </c>
      <c r="B18" s="14" t="s">
        <v>69</v>
      </c>
      <c r="C18" s="14">
        <v>58</v>
      </c>
      <c r="D18" s="14" t="s">
        <v>93</v>
      </c>
      <c r="E18" s="14" t="s">
        <v>98</v>
      </c>
      <c r="F18" s="14" t="s">
        <v>104</v>
      </c>
      <c r="G18" s="15">
        <v>46068</v>
      </c>
      <c r="H18" s="15">
        <v>46071</v>
      </c>
      <c r="I18" s="14" t="s">
        <v>116</v>
      </c>
      <c r="J18" s="14" t="s">
        <v>118</v>
      </c>
      <c r="K18" s="14">
        <v>17500</v>
      </c>
      <c r="L18" s="14" t="s">
        <v>121</v>
      </c>
      <c r="M18" s="14">
        <v>3</v>
      </c>
      <c r="N18" s="14" t="str">
        <f t="shared" si="0"/>
        <v>No-Action</v>
      </c>
      <c r="O18" s="14" t="str">
        <f t="shared" si="1"/>
        <v>Normal Bill</v>
      </c>
      <c r="P18" s="14" t="str">
        <f t="shared" si="2"/>
        <v>Non Senior -Citizen</v>
      </c>
      <c r="Q18" s="14" t="str">
        <f t="shared" si="3"/>
        <v>NHBC</v>
      </c>
      <c r="R18" s="14" t="str">
        <f t="shared" si="4"/>
        <v>No Need</v>
      </c>
      <c r="S18" s="14" t="str">
        <f t="shared" si="5"/>
        <v>PD</v>
      </c>
      <c r="T18" s="14" t="str">
        <f t="shared" si="6"/>
        <v>NP</v>
      </c>
      <c r="U18" s="14" t="str">
        <f t="shared" si="7"/>
        <v>Medium</v>
      </c>
      <c r="V18" s="14" t="str">
        <f t="shared" si="8"/>
        <v>Normal</v>
      </c>
      <c r="W18" s="14" t="str">
        <f t="shared" si="9"/>
        <v>NR</v>
      </c>
    </row>
    <row r="19" spans="1:23">
      <c r="A19" s="14" t="s">
        <v>30</v>
      </c>
      <c r="B19" s="14" t="s">
        <v>70</v>
      </c>
      <c r="C19" s="14">
        <v>33</v>
      </c>
      <c r="D19" s="14" t="s">
        <v>94</v>
      </c>
      <c r="E19" s="14" t="s">
        <v>96</v>
      </c>
      <c r="F19" s="14" t="s">
        <v>101</v>
      </c>
      <c r="G19" s="15">
        <v>46070</v>
      </c>
      <c r="H19" s="15">
        <v>46078</v>
      </c>
      <c r="I19" s="14" t="s">
        <v>114</v>
      </c>
      <c r="J19" s="14" t="s">
        <v>119</v>
      </c>
      <c r="K19" s="14">
        <v>45000</v>
      </c>
      <c r="L19" s="14" t="s">
        <v>121</v>
      </c>
      <c r="M19" s="14">
        <v>8</v>
      </c>
      <c r="N19" s="14" t="str">
        <f t="shared" si="0"/>
        <v>No-Action</v>
      </c>
      <c r="O19" s="14" t="str">
        <f t="shared" si="1"/>
        <v>High Bill</v>
      </c>
      <c r="P19" s="14" t="str">
        <f t="shared" si="2"/>
        <v>Non Senior -Citizen</v>
      </c>
      <c r="Q19" s="14" t="str">
        <f t="shared" si="3"/>
        <v>HBC</v>
      </c>
      <c r="R19" s="14" t="str">
        <f t="shared" si="4"/>
        <v>No Need</v>
      </c>
      <c r="S19" s="14" t="str">
        <f t="shared" si="5"/>
        <v>RD</v>
      </c>
      <c r="T19" s="14" t="str">
        <f t="shared" si="6"/>
        <v>NP</v>
      </c>
      <c r="U19" s="14" t="str">
        <f t="shared" si="7"/>
        <v>High</v>
      </c>
      <c r="V19" s="14" t="str">
        <f t="shared" si="8"/>
        <v>Normal</v>
      </c>
      <c r="W19" s="14" t="str">
        <f t="shared" si="9"/>
        <v>MR</v>
      </c>
    </row>
    <row r="20" spans="1:23">
      <c r="A20" s="14" t="s">
        <v>31</v>
      </c>
      <c r="B20" s="14" t="s">
        <v>71</v>
      </c>
      <c r="C20" s="14">
        <v>47</v>
      </c>
      <c r="D20" s="14" t="s">
        <v>93</v>
      </c>
      <c r="E20" s="14" t="s">
        <v>99</v>
      </c>
      <c r="F20" s="14" t="s">
        <v>107</v>
      </c>
      <c r="G20" s="15">
        <v>46073</v>
      </c>
      <c r="H20" s="15">
        <v>46075</v>
      </c>
      <c r="I20" s="14" t="s">
        <v>117</v>
      </c>
      <c r="J20" s="14" t="s">
        <v>120</v>
      </c>
      <c r="K20" s="14">
        <v>8000</v>
      </c>
      <c r="L20" s="14" t="s">
        <v>122</v>
      </c>
      <c r="M20" s="14">
        <v>2</v>
      </c>
      <c r="N20" s="14" t="str">
        <f t="shared" si="0"/>
        <v>No-Action</v>
      </c>
      <c r="O20" s="14" t="str">
        <f t="shared" si="1"/>
        <v>Normal Bill</v>
      </c>
      <c r="P20" s="14" t="str">
        <f t="shared" si="2"/>
        <v>Non Senior -Citizen</v>
      </c>
      <c r="Q20" s="14" t="str">
        <f t="shared" si="3"/>
        <v>NHBC</v>
      </c>
      <c r="R20" s="14" t="str">
        <f t="shared" si="4"/>
        <v>No Need</v>
      </c>
      <c r="S20" s="14" t="str">
        <f t="shared" si="5"/>
        <v>RD</v>
      </c>
      <c r="T20" s="14" t="str">
        <f t="shared" si="6"/>
        <v>PP</v>
      </c>
      <c r="U20" s="14" t="str">
        <f t="shared" si="7"/>
        <v>Low</v>
      </c>
      <c r="V20" s="14" t="str">
        <f t="shared" si="8"/>
        <v>Normal</v>
      </c>
      <c r="W20" s="14" t="str">
        <f t="shared" si="9"/>
        <v>NR</v>
      </c>
    </row>
    <row r="21" spans="1:23">
      <c r="A21" s="14" t="s">
        <v>32</v>
      </c>
      <c r="B21" s="14" t="s">
        <v>72</v>
      </c>
      <c r="C21" s="14">
        <v>55</v>
      </c>
      <c r="D21" s="14" t="s">
        <v>94</v>
      </c>
      <c r="E21" s="14" t="s">
        <v>95</v>
      </c>
      <c r="F21" s="14" t="s">
        <v>103</v>
      </c>
      <c r="G21" s="15">
        <v>46075</v>
      </c>
      <c r="H21" s="15">
        <v>46080</v>
      </c>
      <c r="I21" s="14" t="s">
        <v>113</v>
      </c>
      <c r="J21" s="14" t="s">
        <v>118</v>
      </c>
      <c r="K21" s="14">
        <v>31000</v>
      </c>
      <c r="L21" s="14" t="s">
        <v>121</v>
      </c>
      <c r="M21" s="14">
        <v>5</v>
      </c>
      <c r="N21" s="14" t="str">
        <f t="shared" si="0"/>
        <v>Foolow-Up</v>
      </c>
      <c r="O21" s="14" t="str">
        <f t="shared" si="1"/>
        <v>Normal Bill</v>
      </c>
      <c r="P21" s="14" t="str">
        <f t="shared" si="2"/>
        <v>Non Senior -Citizen</v>
      </c>
      <c r="Q21" s="14" t="str">
        <f t="shared" si="3"/>
        <v>NHBC</v>
      </c>
      <c r="R21" s="14" t="str">
        <f t="shared" si="4"/>
        <v>No Need</v>
      </c>
      <c r="S21" s="14" t="str">
        <f t="shared" si="5"/>
        <v>PD</v>
      </c>
      <c r="T21" s="14" t="str">
        <f t="shared" si="6"/>
        <v>NP</v>
      </c>
      <c r="U21" s="14" t="str">
        <f t="shared" si="7"/>
        <v>High</v>
      </c>
      <c r="V21" s="14" t="str">
        <f t="shared" si="8"/>
        <v>Normal</v>
      </c>
      <c r="W21" s="14" t="str">
        <f t="shared" si="9"/>
        <v>MR</v>
      </c>
    </row>
    <row r="22" spans="1:23">
      <c r="A22" s="14" t="s">
        <v>33</v>
      </c>
      <c r="B22" s="14" t="s">
        <v>73</v>
      </c>
      <c r="C22" s="14">
        <v>40</v>
      </c>
      <c r="D22" s="14" t="s">
        <v>93</v>
      </c>
      <c r="E22" s="14" t="s">
        <v>97</v>
      </c>
      <c r="F22" s="14" t="s">
        <v>105</v>
      </c>
      <c r="G22" s="15">
        <v>46082</v>
      </c>
      <c r="H22" s="15">
        <v>46085</v>
      </c>
      <c r="I22" s="14" t="s">
        <v>115</v>
      </c>
      <c r="J22" s="14" t="s">
        <v>119</v>
      </c>
      <c r="K22" s="14">
        <v>13000</v>
      </c>
      <c r="L22" s="14" t="s">
        <v>121</v>
      </c>
      <c r="M22" s="14">
        <v>3</v>
      </c>
      <c r="N22" s="14" t="str">
        <f t="shared" si="0"/>
        <v>No-Action</v>
      </c>
      <c r="O22" s="14" t="str">
        <f t="shared" si="1"/>
        <v>Normal Bill</v>
      </c>
      <c r="P22" s="14" t="str">
        <f t="shared" si="2"/>
        <v>Non Senior -Citizen</v>
      </c>
      <c r="Q22" s="14" t="str">
        <f t="shared" si="3"/>
        <v>NHBC</v>
      </c>
      <c r="R22" s="14" t="str">
        <f t="shared" si="4"/>
        <v>No Need</v>
      </c>
      <c r="S22" s="14" t="str">
        <f t="shared" si="5"/>
        <v>RD</v>
      </c>
      <c r="T22" s="14" t="str">
        <f t="shared" si="6"/>
        <v>NP</v>
      </c>
      <c r="U22" s="14" t="str">
        <f t="shared" si="7"/>
        <v>Low</v>
      </c>
      <c r="V22" s="14" t="str">
        <f t="shared" si="8"/>
        <v>Normal</v>
      </c>
      <c r="W22" s="14" t="str">
        <f t="shared" si="9"/>
        <v>NR</v>
      </c>
    </row>
    <row r="23" spans="1:23">
      <c r="A23" s="14" t="s">
        <v>34</v>
      </c>
      <c r="B23" s="14" t="s">
        <v>74</v>
      </c>
      <c r="C23" s="14">
        <v>63</v>
      </c>
      <c r="D23" s="14" t="s">
        <v>94</v>
      </c>
      <c r="E23" s="14" t="s">
        <v>98</v>
      </c>
      <c r="F23" s="14" t="s">
        <v>110</v>
      </c>
      <c r="G23" s="15">
        <v>46084</v>
      </c>
      <c r="H23" s="15">
        <v>46093</v>
      </c>
      <c r="I23" s="14" t="s">
        <v>116</v>
      </c>
      <c r="J23" s="14" t="s">
        <v>118</v>
      </c>
      <c r="K23" s="14">
        <v>48000</v>
      </c>
      <c r="L23" s="14" t="s">
        <v>121</v>
      </c>
      <c r="M23" s="14">
        <v>9</v>
      </c>
      <c r="N23" s="14" t="str">
        <f t="shared" si="0"/>
        <v>No-Action</v>
      </c>
      <c r="O23" s="14" t="str">
        <f t="shared" si="1"/>
        <v>High Bill</v>
      </c>
      <c r="P23" s="14" t="str">
        <f t="shared" si="2"/>
        <v>Senior-citizen</v>
      </c>
      <c r="Q23" s="14" t="str">
        <f t="shared" si="3"/>
        <v>HBC</v>
      </c>
      <c r="R23" s="14" t="str">
        <f t="shared" si="4"/>
        <v>No Need</v>
      </c>
      <c r="S23" s="14" t="str">
        <f t="shared" si="5"/>
        <v>PD</v>
      </c>
      <c r="T23" s="14" t="str">
        <f t="shared" si="6"/>
        <v>NP</v>
      </c>
      <c r="U23" s="14" t="str">
        <f t="shared" si="7"/>
        <v>High</v>
      </c>
      <c r="V23" s="14" t="str">
        <f t="shared" si="8"/>
        <v>Normal</v>
      </c>
      <c r="W23" s="14" t="str">
        <f t="shared" si="9"/>
        <v>NR</v>
      </c>
    </row>
    <row r="24" spans="1:23">
      <c r="A24" s="14" t="s">
        <v>35</v>
      </c>
      <c r="B24" s="14" t="s">
        <v>75</v>
      </c>
      <c r="C24" s="14">
        <v>27</v>
      </c>
      <c r="D24" s="14" t="s">
        <v>93</v>
      </c>
      <c r="E24" s="14" t="s">
        <v>96</v>
      </c>
      <c r="F24" s="14" t="s">
        <v>111</v>
      </c>
      <c r="G24" s="15">
        <v>46086</v>
      </c>
      <c r="H24" s="15">
        <v>46089</v>
      </c>
      <c r="I24" s="14" t="s">
        <v>114</v>
      </c>
      <c r="J24" s="14" t="s">
        <v>120</v>
      </c>
      <c r="K24" s="14">
        <v>12500</v>
      </c>
      <c r="L24" s="14" t="s">
        <v>121</v>
      </c>
      <c r="M24" s="14">
        <v>3</v>
      </c>
      <c r="N24" s="14" t="str">
        <f t="shared" si="0"/>
        <v>No-Action</v>
      </c>
      <c r="O24" s="14" t="str">
        <f t="shared" si="1"/>
        <v>Normal Bill</v>
      </c>
      <c r="P24" s="14" t="str">
        <f t="shared" si="2"/>
        <v>Non Senior -Citizen</v>
      </c>
      <c r="Q24" s="14" t="str">
        <f t="shared" si="3"/>
        <v>NHBC</v>
      </c>
      <c r="R24" s="14" t="str">
        <f t="shared" si="4"/>
        <v>No Need</v>
      </c>
      <c r="S24" s="14" t="str">
        <f t="shared" si="5"/>
        <v>RD</v>
      </c>
      <c r="T24" s="14" t="str">
        <f t="shared" si="6"/>
        <v>NP</v>
      </c>
      <c r="U24" s="14" t="str">
        <f t="shared" si="7"/>
        <v>Low</v>
      </c>
      <c r="V24" s="14" t="str">
        <f t="shared" si="8"/>
        <v>Normal</v>
      </c>
      <c r="W24" s="14" t="str">
        <f t="shared" si="9"/>
        <v>NR</v>
      </c>
    </row>
    <row r="25" spans="1:23">
      <c r="A25" s="14" t="s">
        <v>36</v>
      </c>
      <c r="B25" s="14" t="s">
        <v>76</v>
      </c>
      <c r="C25" s="14">
        <v>51</v>
      </c>
      <c r="D25" s="14" t="s">
        <v>94</v>
      </c>
      <c r="E25" s="14" t="s">
        <v>99</v>
      </c>
      <c r="F25" s="14" t="s">
        <v>112</v>
      </c>
      <c r="G25" s="15">
        <v>46088</v>
      </c>
      <c r="H25" s="15">
        <v>46091</v>
      </c>
      <c r="I25" s="14" t="s">
        <v>117</v>
      </c>
      <c r="J25" s="14" t="s">
        <v>119</v>
      </c>
      <c r="K25" s="14">
        <v>15500</v>
      </c>
      <c r="L25" s="14" t="s">
        <v>122</v>
      </c>
      <c r="M25" s="14">
        <v>3</v>
      </c>
      <c r="N25" s="14" t="str">
        <f t="shared" si="0"/>
        <v>No-Action</v>
      </c>
      <c r="O25" s="14" t="str">
        <f t="shared" si="1"/>
        <v>Normal Bill</v>
      </c>
      <c r="P25" s="14" t="str">
        <f t="shared" si="2"/>
        <v>Non Senior -Citizen</v>
      </c>
      <c r="Q25" s="14" t="str">
        <f t="shared" si="3"/>
        <v>NHBC</v>
      </c>
      <c r="R25" s="14" t="str">
        <f t="shared" si="4"/>
        <v>No Need</v>
      </c>
      <c r="S25" s="14" t="str">
        <f t="shared" si="5"/>
        <v>RD</v>
      </c>
      <c r="T25" s="14" t="str">
        <f t="shared" si="6"/>
        <v>PP</v>
      </c>
      <c r="U25" s="14" t="str">
        <f t="shared" si="7"/>
        <v>Medium</v>
      </c>
      <c r="V25" s="14" t="str">
        <f t="shared" si="8"/>
        <v>Normal</v>
      </c>
      <c r="W25" s="14" t="str">
        <f t="shared" si="9"/>
        <v>NR</v>
      </c>
    </row>
    <row r="26" spans="1:23">
      <c r="A26" s="14" t="s">
        <v>37</v>
      </c>
      <c r="B26" s="14" t="s">
        <v>77</v>
      </c>
      <c r="C26" s="14">
        <v>70</v>
      </c>
      <c r="D26" s="14" t="s">
        <v>93</v>
      </c>
      <c r="E26" s="14" t="s">
        <v>95</v>
      </c>
      <c r="F26" s="14" t="s">
        <v>106</v>
      </c>
      <c r="G26" s="15">
        <v>46091</v>
      </c>
      <c r="H26" s="15">
        <v>46102</v>
      </c>
      <c r="I26" s="14" t="s">
        <v>113</v>
      </c>
      <c r="J26" s="14" t="s">
        <v>119</v>
      </c>
      <c r="K26" s="14">
        <v>76000</v>
      </c>
      <c r="L26" s="14" t="s">
        <v>121</v>
      </c>
      <c r="M26" s="14">
        <v>11</v>
      </c>
      <c r="N26" s="14" t="str">
        <f t="shared" si="0"/>
        <v>Foolow-Up</v>
      </c>
      <c r="O26" s="14" t="str">
        <f t="shared" si="1"/>
        <v>High Bill</v>
      </c>
      <c r="P26" s="14" t="str">
        <f t="shared" si="2"/>
        <v>Senior-citizen</v>
      </c>
      <c r="Q26" s="14" t="str">
        <f t="shared" si="3"/>
        <v>HBC</v>
      </c>
      <c r="R26" s="14" t="str">
        <f t="shared" si="4"/>
        <v>No Need</v>
      </c>
      <c r="S26" s="14" t="str">
        <f t="shared" si="5"/>
        <v>PD</v>
      </c>
      <c r="T26" s="14" t="str">
        <f t="shared" si="6"/>
        <v>NP</v>
      </c>
      <c r="U26" s="14" t="str">
        <f t="shared" si="7"/>
        <v>VH</v>
      </c>
      <c r="V26" s="14" t="str">
        <f t="shared" si="8"/>
        <v>Normal</v>
      </c>
      <c r="W26" s="14" t="str">
        <f t="shared" si="9"/>
        <v>MR</v>
      </c>
    </row>
    <row r="27" spans="1:23">
      <c r="A27" s="14" t="s">
        <v>38</v>
      </c>
      <c r="B27" s="14" t="s">
        <v>78</v>
      </c>
      <c r="C27" s="14">
        <v>37</v>
      </c>
      <c r="D27" s="14" t="s">
        <v>94</v>
      </c>
      <c r="E27" s="14" t="s">
        <v>97</v>
      </c>
      <c r="F27" s="14" t="s">
        <v>109</v>
      </c>
      <c r="G27" s="15">
        <v>46093</v>
      </c>
      <c r="H27" s="15">
        <v>46095</v>
      </c>
      <c r="I27" s="14" t="s">
        <v>115</v>
      </c>
      <c r="J27" s="14" t="s">
        <v>120</v>
      </c>
      <c r="K27" s="14">
        <v>6200</v>
      </c>
      <c r="L27" s="14" t="s">
        <v>121</v>
      </c>
      <c r="M27" s="14">
        <v>2</v>
      </c>
      <c r="N27" s="14" t="str">
        <f t="shared" si="0"/>
        <v>No-Action</v>
      </c>
      <c r="O27" s="14" t="str">
        <f t="shared" si="1"/>
        <v>Normal Bill</v>
      </c>
      <c r="P27" s="14" t="str">
        <f t="shared" si="2"/>
        <v>Non Senior -Citizen</v>
      </c>
      <c r="Q27" s="14" t="str">
        <f t="shared" si="3"/>
        <v>NHBC</v>
      </c>
      <c r="R27" s="14" t="str">
        <f t="shared" si="4"/>
        <v>No Need</v>
      </c>
      <c r="S27" s="14" t="str">
        <f t="shared" si="5"/>
        <v>RD</v>
      </c>
      <c r="T27" s="14" t="str">
        <f t="shared" si="6"/>
        <v>NP</v>
      </c>
      <c r="U27" s="14" t="str">
        <f t="shared" si="7"/>
        <v>Low</v>
      </c>
      <c r="V27" s="14" t="str">
        <f t="shared" si="8"/>
        <v>Normal</v>
      </c>
      <c r="W27" s="14" t="str">
        <f t="shared" si="9"/>
        <v>NR</v>
      </c>
    </row>
    <row r="28" spans="1:23">
      <c r="A28" s="14" t="s">
        <v>39</v>
      </c>
      <c r="B28" s="14" t="s">
        <v>79</v>
      </c>
      <c r="C28" s="14">
        <v>44</v>
      </c>
      <c r="D28" s="14" t="s">
        <v>93</v>
      </c>
      <c r="E28" s="14" t="s">
        <v>96</v>
      </c>
      <c r="F28" s="14" t="s">
        <v>108</v>
      </c>
      <c r="G28" s="15">
        <v>46096</v>
      </c>
      <c r="H28" s="15">
        <v>46101</v>
      </c>
      <c r="I28" s="14" t="s">
        <v>114</v>
      </c>
      <c r="J28" s="14" t="s">
        <v>118</v>
      </c>
      <c r="K28" s="14">
        <v>26000</v>
      </c>
      <c r="L28" s="14" t="s">
        <v>122</v>
      </c>
      <c r="M28" s="14">
        <v>5</v>
      </c>
      <c r="N28" s="14" t="str">
        <f t="shared" si="0"/>
        <v>No-Action</v>
      </c>
      <c r="O28" s="14" t="str">
        <f t="shared" si="1"/>
        <v>Normal Bill</v>
      </c>
      <c r="P28" s="14" t="str">
        <f t="shared" si="2"/>
        <v>Non Senior -Citizen</v>
      </c>
      <c r="Q28" s="14" t="str">
        <f t="shared" si="3"/>
        <v>NHBC</v>
      </c>
      <c r="R28" s="14" t="str">
        <f t="shared" si="4"/>
        <v>No Need</v>
      </c>
      <c r="S28" s="14" t="str">
        <f t="shared" si="5"/>
        <v>RD</v>
      </c>
      <c r="T28" s="14" t="str">
        <f t="shared" si="6"/>
        <v>PP</v>
      </c>
      <c r="U28" s="14" t="str">
        <f t="shared" si="7"/>
        <v>Medium</v>
      </c>
      <c r="V28" s="14" t="str">
        <f t="shared" si="8"/>
        <v>Normal</v>
      </c>
      <c r="W28" s="14" t="str">
        <f t="shared" si="9"/>
        <v>NR</v>
      </c>
    </row>
    <row r="29" spans="1:23">
      <c r="A29" s="14" t="s">
        <v>40</v>
      </c>
      <c r="B29" s="14" t="s">
        <v>80</v>
      </c>
      <c r="C29" s="14">
        <v>30</v>
      </c>
      <c r="D29" s="14" t="s">
        <v>94</v>
      </c>
      <c r="E29" s="14" t="s">
        <v>98</v>
      </c>
      <c r="F29" s="14" t="s">
        <v>104</v>
      </c>
      <c r="G29" s="15">
        <v>46098</v>
      </c>
      <c r="H29" s="15">
        <v>46100</v>
      </c>
      <c r="I29" s="14" t="s">
        <v>116</v>
      </c>
      <c r="J29" s="14" t="s">
        <v>120</v>
      </c>
      <c r="K29" s="14">
        <v>9000</v>
      </c>
      <c r="L29" s="14" t="s">
        <v>121</v>
      </c>
      <c r="M29" s="14">
        <v>2</v>
      </c>
      <c r="N29" s="14" t="str">
        <f t="shared" si="0"/>
        <v>Foolow-Up</v>
      </c>
      <c r="O29" s="14" t="str">
        <f t="shared" si="1"/>
        <v>Normal Bill</v>
      </c>
      <c r="P29" s="14" t="str">
        <f t="shared" si="2"/>
        <v>Non Senior -Citizen</v>
      </c>
      <c r="Q29" s="14" t="str">
        <f t="shared" si="3"/>
        <v>NHBC</v>
      </c>
      <c r="R29" s="14" t="str">
        <f t="shared" si="4"/>
        <v>No Need</v>
      </c>
      <c r="S29" s="14" t="str">
        <f t="shared" si="5"/>
        <v>PD</v>
      </c>
      <c r="T29" s="14" t="str">
        <f t="shared" si="6"/>
        <v>NP</v>
      </c>
      <c r="U29" s="14" t="str">
        <f t="shared" si="7"/>
        <v>Low</v>
      </c>
      <c r="V29" s="14" t="str">
        <f t="shared" si="8"/>
        <v>Normal</v>
      </c>
      <c r="W29" s="14" t="str">
        <f t="shared" si="9"/>
        <v>NR</v>
      </c>
    </row>
    <row r="30" spans="1:23">
      <c r="A30" s="14" t="s">
        <v>41</v>
      </c>
      <c r="B30" s="14" t="s">
        <v>81</v>
      </c>
      <c r="C30" s="14">
        <v>59</v>
      </c>
      <c r="D30" s="14" t="s">
        <v>93</v>
      </c>
      <c r="E30" s="14" t="s">
        <v>99</v>
      </c>
      <c r="F30" s="14" t="s">
        <v>107</v>
      </c>
      <c r="G30" s="15">
        <v>46101</v>
      </c>
      <c r="H30" s="15">
        <v>46104</v>
      </c>
      <c r="I30" s="14" t="s">
        <v>117</v>
      </c>
      <c r="J30" s="14" t="s">
        <v>118</v>
      </c>
      <c r="K30" s="14">
        <v>11000</v>
      </c>
      <c r="L30" s="14" t="s">
        <v>121</v>
      </c>
      <c r="M30" s="14">
        <v>3</v>
      </c>
      <c r="N30" s="14" t="str">
        <f t="shared" si="0"/>
        <v>No-Action</v>
      </c>
      <c r="O30" s="14" t="str">
        <f t="shared" si="1"/>
        <v>Normal Bill</v>
      </c>
      <c r="P30" s="14" t="str">
        <f t="shared" si="2"/>
        <v>Non Senior -Citizen</v>
      </c>
      <c r="Q30" s="14" t="str">
        <f t="shared" si="3"/>
        <v>NHBC</v>
      </c>
      <c r="R30" s="14" t="str">
        <f t="shared" si="4"/>
        <v>No Need</v>
      </c>
      <c r="S30" s="14" t="str">
        <f t="shared" si="5"/>
        <v>RD</v>
      </c>
      <c r="T30" s="14" t="str">
        <f t="shared" si="6"/>
        <v>NP</v>
      </c>
      <c r="U30" s="14" t="str">
        <f t="shared" si="7"/>
        <v>Low</v>
      </c>
      <c r="V30" s="14" t="str">
        <f t="shared" si="8"/>
        <v>Normal</v>
      </c>
      <c r="W30" s="14" t="str">
        <f t="shared" si="9"/>
        <v>NR</v>
      </c>
    </row>
    <row r="31" spans="1:23">
      <c r="A31" s="14" t="s">
        <v>42</v>
      </c>
      <c r="B31" s="14" t="s">
        <v>82</v>
      </c>
      <c r="C31" s="14">
        <v>46</v>
      </c>
      <c r="D31" s="14" t="s">
        <v>94</v>
      </c>
      <c r="E31" s="14" t="s">
        <v>95</v>
      </c>
      <c r="F31" s="14" t="s">
        <v>100</v>
      </c>
      <c r="G31" s="15">
        <v>46103</v>
      </c>
      <c r="H31" s="15">
        <v>46107</v>
      </c>
      <c r="I31" s="14" t="s">
        <v>113</v>
      </c>
      <c r="J31" s="14" t="s">
        <v>119</v>
      </c>
      <c r="K31" s="14">
        <v>24500</v>
      </c>
      <c r="L31" s="14" t="s">
        <v>121</v>
      </c>
      <c r="M31" s="14">
        <v>4</v>
      </c>
      <c r="N31" s="14" t="str">
        <f t="shared" si="0"/>
        <v>No-Action</v>
      </c>
      <c r="O31" s="14" t="str">
        <f t="shared" si="1"/>
        <v>Normal Bill</v>
      </c>
      <c r="P31" s="14" t="str">
        <f t="shared" si="2"/>
        <v>Non Senior -Citizen</v>
      </c>
      <c r="Q31" s="14" t="str">
        <f t="shared" si="3"/>
        <v>NHBC</v>
      </c>
      <c r="R31" s="14" t="str">
        <f t="shared" si="4"/>
        <v>No Need</v>
      </c>
      <c r="S31" s="14" t="str">
        <f t="shared" si="5"/>
        <v>PD</v>
      </c>
      <c r="T31" s="14" t="str">
        <f t="shared" si="6"/>
        <v>NP</v>
      </c>
      <c r="U31" s="14" t="str">
        <f t="shared" si="7"/>
        <v>Medium</v>
      </c>
      <c r="V31" s="14" t="str">
        <f t="shared" si="8"/>
        <v>Normal</v>
      </c>
      <c r="W31" s="14" t="str">
        <f t="shared" si="9"/>
        <v>NR</v>
      </c>
    </row>
    <row r="32" spans="1:23">
      <c r="A32" s="14" t="s">
        <v>43</v>
      </c>
      <c r="B32" s="14" t="s">
        <v>83</v>
      </c>
      <c r="C32" s="14">
        <v>35</v>
      </c>
      <c r="D32" s="14" t="s">
        <v>93</v>
      </c>
      <c r="E32" s="14" t="s">
        <v>97</v>
      </c>
      <c r="F32" s="14" t="s">
        <v>102</v>
      </c>
      <c r="G32" s="15">
        <v>46113</v>
      </c>
      <c r="H32" s="15">
        <v>46117</v>
      </c>
      <c r="I32" s="14" t="s">
        <v>115</v>
      </c>
      <c r="J32" s="14" t="s">
        <v>118</v>
      </c>
      <c r="K32" s="14">
        <v>14000</v>
      </c>
      <c r="L32" s="14" t="s">
        <v>121</v>
      </c>
      <c r="M32" s="14">
        <v>4</v>
      </c>
      <c r="N32" s="14" t="str">
        <f>IF(L31="Pending","Foolow-Up","No-Action")</f>
        <v>No-Action</v>
      </c>
      <c r="O32" s="14" t="str">
        <f t="shared" si="1"/>
        <v>Normal Bill</v>
      </c>
      <c r="P32" s="14" t="str">
        <f t="shared" si="2"/>
        <v>Non Senior -Citizen</v>
      </c>
      <c r="Q32" s="14" t="str">
        <f t="shared" si="3"/>
        <v>NHBC</v>
      </c>
      <c r="R32" s="14" t="str">
        <f t="shared" si="4"/>
        <v>No Need</v>
      </c>
      <c r="S32" s="14" t="str">
        <f t="shared" si="5"/>
        <v>RD</v>
      </c>
      <c r="T32" s="14" t="str">
        <f t="shared" si="6"/>
        <v>NP</v>
      </c>
      <c r="U32" s="14" t="str">
        <f t="shared" si="7"/>
        <v>Low</v>
      </c>
      <c r="V32" s="14" t="str">
        <f t="shared" si="8"/>
        <v>Normal</v>
      </c>
      <c r="W32" s="14" t="str">
        <f t="shared" si="9"/>
        <v>NR</v>
      </c>
    </row>
    <row r="33" spans="1:23">
      <c r="A33" s="14" t="s">
        <v>44</v>
      </c>
      <c r="B33" s="14" t="s">
        <v>84</v>
      </c>
      <c r="C33" s="14">
        <v>62</v>
      </c>
      <c r="D33" s="14" t="s">
        <v>94</v>
      </c>
      <c r="E33" s="14" t="s">
        <v>98</v>
      </c>
      <c r="F33" s="14" t="s">
        <v>110</v>
      </c>
      <c r="G33" s="15">
        <v>46115</v>
      </c>
      <c r="H33" s="15">
        <v>46122</v>
      </c>
      <c r="I33" s="14" t="s">
        <v>116</v>
      </c>
      <c r="J33" s="14" t="s">
        <v>119</v>
      </c>
      <c r="K33" s="14">
        <v>41000</v>
      </c>
      <c r="L33" s="14" t="s">
        <v>122</v>
      </c>
      <c r="M33" s="14">
        <v>7</v>
      </c>
      <c r="N33" s="14" t="str">
        <f t="shared" si="0"/>
        <v>No-Action</v>
      </c>
      <c r="O33" s="14" t="str">
        <f t="shared" si="1"/>
        <v>High Bill</v>
      </c>
      <c r="P33" s="14" t="str">
        <f t="shared" si="2"/>
        <v>Senior-citizen</v>
      </c>
      <c r="Q33" s="14" t="str">
        <f t="shared" si="3"/>
        <v>HBC</v>
      </c>
      <c r="R33" s="14" t="str">
        <f t="shared" si="4"/>
        <v>UPFU</v>
      </c>
      <c r="S33" s="14" t="str">
        <f t="shared" si="5"/>
        <v>PD</v>
      </c>
      <c r="T33" s="14" t="str">
        <f t="shared" si="6"/>
        <v>PP</v>
      </c>
      <c r="U33" s="14" t="str">
        <f t="shared" si="7"/>
        <v>High</v>
      </c>
      <c r="V33" s="14" t="str">
        <f t="shared" si="8"/>
        <v>HFR</v>
      </c>
      <c r="W33" s="14" t="str">
        <f t="shared" si="9"/>
        <v>NR</v>
      </c>
    </row>
    <row r="34" spans="1:23">
      <c r="A34" s="14" t="s">
        <v>45</v>
      </c>
      <c r="B34" s="14" t="s">
        <v>85</v>
      </c>
      <c r="C34" s="14">
        <v>49</v>
      </c>
      <c r="D34" s="14" t="s">
        <v>93</v>
      </c>
      <c r="E34" s="14" t="s">
        <v>96</v>
      </c>
      <c r="F34" s="14" t="s">
        <v>101</v>
      </c>
      <c r="G34" s="15">
        <v>46117</v>
      </c>
      <c r="H34" s="15">
        <v>46126</v>
      </c>
      <c r="I34" s="14" t="s">
        <v>114</v>
      </c>
      <c r="J34" s="14" t="s">
        <v>118</v>
      </c>
      <c r="K34" s="14">
        <v>47000</v>
      </c>
      <c r="L34" s="14" t="s">
        <v>121</v>
      </c>
      <c r="M34" s="14">
        <v>9</v>
      </c>
      <c r="N34" s="14" t="str">
        <f t="shared" si="0"/>
        <v>Foolow-Up</v>
      </c>
      <c r="O34" s="14" t="str">
        <f t="shared" si="1"/>
        <v>High Bill</v>
      </c>
      <c r="P34" s="14" t="str">
        <f t="shared" si="2"/>
        <v>Non Senior -Citizen</v>
      </c>
      <c r="Q34" s="14" t="str">
        <f t="shared" si="3"/>
        <v>HBC</v>
      </c>
      <c r="R34" s="14" t="str">
        <f t="shared" si="4"/>
        <v>No Need</v>
      </c>
      <c r="S34" s="14" t="str">
        <f t="shared" si="5"/>
        <v>RD</v>
      </c>
      <c r="T34" s="14" t="str">
        <f t="shared" si="6"/>
        <v>NP</v>
      </c>
      <c r="U34" s="14" t="str">
        <f t="shared" si="7"/>
        <v>High</v>
      </c>
      <c r="V34" s="14" t="str">
        <f t="shared" si="8"/>
        <v>Normal</v>
      </c>
      <c r="W34" s="14" t="str">
        <f t="shared" si="9"/>
        <v>MR</v>
      </c>
    </row>
    <row r="35" spans="1:23">
      <c r="A35" s="14" t="s">
        <v>46</v>
      </c>
      <c r="B35" s="14" t="s">
        <v>86</v>
      </c>
      <c r="C35" s="14">
        <v>38</v>
      </c>
      <c r="D35" s="14" t="s">
        <v>94</v>
      </c>
      <c r="E35" s="14" t="s">
        <v>99</v>
      </c>
      <c r="F35" s="14" t="s">
        <v>112</v>
      </c>
      <c r="G35" s="15">
        <v>46119</v>
      </c>
      <c r="H35" s="15">
        <v>46123</v>
      </c>
      <c r="I35" s="14" t="s">
        <v>117</v>
      </c>
      <c r="J35" s="14" t="s">
        <v>120</v>
      </c>
      <c r="K35" s="14">
        <v>17000</v>
      </c>
      <c r="L35" s="14" t="s">
        <v>121</v>
      </c>
      <c r="M35" s="14">
        <v>4</v>
      </c>
      <c r="N35" s="14" t="str">
        <f t="shared" si="0"/>
        <v>No-Action</v>
      </c>
      <c r="O35" s="14" t="str">
        <f t="shared" si="1"/>
        <v>Normal Bill</v>
      </c>
      <c r="P35" s="14" t="str">
        <f t="shared" si="2"/>
        <v>Non Senior -Citizen</v>
      </c>
      <c r="Q35" s="14" t="str">
        <f t="shared" si="3"/>
        <v>NHBC</v>
      </c>
      <c r="R35" s="14" t="str">
        <f t="shared" si="4"/>
        <v>No Need</v>
      </c>
      <c r="S35" s="14" t="str">
        <f t="shared" si="5"/>
        <v>RD</v>
      </c>
      <c r="T35" s="14" t="str">
        <f t="shared" si="6"/>
        <v>NP</v>
      </c>
      <c r="U35" s="14" t="str">
        <f t="shared" si="7"/>
        <v>Medium</v>
      </c>
      <c r="V35" s="14" t="str">
        <f t="shared" si="8"/>
        <v>Normal</v>
      </c>
      <c r="W35" s="14" t="str">
        <f t="shared" si="9"/>
        <v>NR</v>
      </c>
    </row>
    <row r="36" spans="1:23">
      <c r="A36" s="14" t="s">
        <v>47</v>
      </c>
      <c r="B36" s="14" t="s">
        <v>87</v>
      </c>
      <c r="C36" s="14">
        <v>66</v>
      </c>
      <c r="D36" s="14" t="s">
        <v>93</v>
      </c>
      <c r="E36" s="14" t="s">
        <v>95</v>
      </c>
      <c r="F36" s="14" t="s">
        <v>103</v>
      </c>
      <c r="G36" s="15">
        <v>46122</v>
      </c>
      <c r="H36" s="15">
        <v>46128</v>
      </c>
      <c r="I36" s="14" t="s">
        <v>113</v>
      </c>
      <c r="J36" s="14" t="s">
        <v>119</v>
      </c>
      <c r="K36" s="14">
        <v>35000</v>
      </c>
      <c r="L36" s="14" t="s">
        <v>122</v>
      </c>
      <c r="M36" s="14">
        <v>6</v>
      </c>
      <c r="N36" s="14" t="str">
        <f t="shared" si="0"/>
        <v>No-Action</v>
      </c>
      <c r="O36" s="14" t="str">
        <f t="shared" si="1"/>
        <v>Normal Bill</v>
      </c>
      <c r="P36" s="14" t="str">
        <f t="shared" si="2"/>
        <v>Senior-citizen</v>
      </c>
      <c r="Q36" s="14" t="str">
        <f t="shared" si="3"/>
        <v>NHBC</v>
      </c>
      <c r="R36" s="14" t="str">
        <f t="shared" si="4"/>
        <v>UPFU</v>
      </c>
      <c r="S36" s="14" t="str">
        <f t="shared" si="5"/>
        <v>PD</v>
      </c>
      <c r="T36" s="14" t="str">
        <f t="shared" si="6"/>
        <v>PP</v>
      </c>
      <c r="U36" s="14" t="str">
        <f t="shared" si="7"/>
        <v>High</v>
      </c>
      <c r="V36" s="14" t="str">
        <f t="shared" si="8"/>
        <v>Normal</v>
      </c>
      <c r="W36" s="14" t="str">
        <f t="shared" si="9"/>
        <v>MR</v>
      </c>
    </row>
    <row r="37" spans="1:23">
      <c r="A37" s="14" t="s">
        <v>48</v>
      </c>
      <c r="B37" s="14" t="s">
        <v>88</v>
      </c>
      <c r="C37" s="14">
        <v>26</v>
      </c>
      <c r="D37" s="14" t="s">
        <v>94</v>
      </c>
      <c r="E37" s="14" t="s">
        <v>97</v>
      </c>
      <c r="F37" s="14" t="s">
        <v>109</v>
      </c>
      <c r="G37" s="15">
        <v>46124</v>
      </c>
      <c r="H37" s="15">
        <v>46126</v>
      </c>
      <c r="I37" s="14" t="s">
        <v>115</v>
      </c>
      <c r="J37" s="14" t="s">
        <v>120</v>
      </c>
      <c r="K37" s="14">
        <v>5800</v>
      </c>
      <c r="L37" s="14" t="s">
        <v>121</v>
      </c>
      <c r="M37" s="14">
        <v>2</v>
      </c>
      <c r="N37" s="14" t="str">
        <f t="shared" si="0"/>
        <v>Foolow-Up</v>
      </c>
      <c r="O37" s="14" t="str">
        <f t="shared" si="1"/>
        <v>Normal Bill</v>
      </c>
      <c r="P37" s="14" t="str">
        <f t="shared" si="2"/>
        <v>Non Senior -Citizen</v>
      </c>
      <c r="Q37" s="14" t="str">
        <f t="shared" si="3"/>
        <v>NHBC</v>
      </c>
      <c r="R37" s="14" t="str">
        <f t="shared" si="4"/>
        <v>No Need</v>
      </c>
      <c r="S37" s="14" t="str">
        <f t="shared" si="5"/>
        <v>RD</v>
      </c>
      <c r="T37" s="14" t="str">
        <f t="shared" si="6"/>
        <v>NP</v>
      </c>
      <c r="U37" s="14" t="str">
        <f t="shared" si="7"/>
        <v>Low</v>
      </c>
      <c r="V37" s="14" t="str">
        <f t="shared" si="8"/>
        <v>Normal</v>
      </c>
      <c r="W37" s="14" t="str">
        <f t="shared" si="9"/>
        <v>NR</v>
      </c>
    </row>
    <row r="38" spans="1:23">
      <c r="A38" s="14" t="s">
        <v>49</v>
      </c>
      <c r="B38" s="14" t="s">
        <v>89</v>
      </c>
      <c r="C38" s="14">
        <v>54</v>
      </c>
      <c r="D38" s="14" t="s">
        <v>93</v>
      </c>
      <c r="E38" s="14" t="s">
        <v>96</v>
      </c>
      <c r="F38" s="14" t="s">
        <v>111</v>
      </c>
      <c r="G38" s="15">
        <v>46127</v>
      </c>
      <c r="H38" s="15">
        <v>46131</v>
      </c>
      <c r="I38" s="14" t="s">
        <v>114</v>
      </c>
      <c r="J38" s="14" t="s">
        <v>118</v>
      </c>
      <c r="K38" s="14">
        <v>19000</v>
      </c>
      <c r="L38" s="14" t="s">
        <v>121</v>
      </c>
      <c r="M38" s="14">
        <v>4</v>
      </c>
      <c r="N38" s="14" t="str">
        <f t="shared" si="0"/>
        <v>No-Action</v>
      </c>
      <c r="O38" s="14" t="str">
        <f t="shared" si="1"/>
        <v>Normal Bill</v>
      </c>
      <c r="P38" s="14" t="str">
        <f t="shared" si="2"/>
        <v>Non Senior -Citizen</v>
      </c>
      <c r="Q38" s="14" t="str">
        <f t="shared" si="3"/>
        <v>NHBC</v>
      </c>
      <c r="R38" s="14" t="str">
        <f t="shared" si="4"/>
        <v>No Need</v>
      </c>
      <c r="S38" s="14" t="str">
        <f t="shared" si="5"/>
        <v>RD</v>
      </c>
      <c r="T38" s="14" t="str">
        <f t="shared" si="6"/>
        <v>NP</v>
      </c>
      <c r="U38" s="14" t="str">
        <f t="shared" si="7"/>
        <v>Medium</v>
      </c>
      <c r="V38" s="14" t="str">
        <f t="shared" si="8"/>
        <v>Normal</v>
      </c>
      <c r="W38" s="14" t="str">
        <f t="shared" si="9"/>
        <v>NR</v>
      </c>
    </row>
    <row r="39" spans="1:23">
      <c r="A39" s="14" t="s">
        <v>50</v>
      </c>
      <c r="B39" s="14" t="s">
        <v>90</v>
      </c>
      <c r="C39" s="14">
        <v>43</v>
      </c>
      <c r="D39" s="14" t="s">
        <v>94</v>
      </c>
      <c r="E39" s="14" t="s">
        <v>98</v>
      </c>
      <c r="F39" s="14" t="s">
        <v>104</v>
      </c>
      <c r="G39" s="15">
        <v>46130</v>
      </c>
      <c r="H39" s="15">
        <v>46132</v>
      </c>
      <c r="I39" s="14" t="s">
        <v>116</v>
      </c>
      <c r="J39" s="14" t="s">
        <v>120</v>
      </c>
      <c r="K39" s="14">
        <v>8500</v>
      </c>
      <c r="L39" s="14" t="s">
        <v>121</v>
      </c>
      <c r="M39" s="14">
        <v>2</v>
      </c>
      <c r="N39" s="14" t="str">
        <f t="shared" si="0"/>
        <v>No-Action</v>
      </c>
      <c r="O39" s="14" t="str">
        <f t="shared" si="1"/>
        <v>Normal Bill</v>
      </c>
      <c r="P39" s="14" t="str">
        <f t="shared" si="2"/>
        <v>Non Senior -Citizen</v>
      </c>
      <c r="Q39" s="14" t="str">
        <f t="shared" si="3"/>
        <v>NHBC</v>
      </c>
      <c r="R39" s="14" t="str">
        <f t="shared" si="4"/>
        <v>No Need</v>
      </c>
      <c r="S39" s="14" t="str">
        <f t="shared" si="5"/>
        <v>PD</v>
      </c>
      <c r="T39" s="14" t="str">
        <f t="shared" si="6"/>
        <v>NP</v>
      </c>
      <c r="U39" s="14" t="str">
        <f t="shared" si="7"/>
        <v>Low</v>
      </c>
      <c r="V39" s="14" t="str">
        <f t="shared" si="8"/>
        <v>Normal</v>
      </c>
      <c r="W39" s="14" t="str">
        <f t="shared" si="9"/>
        <v>NR</v>
      </c>
    </row>
    <row r="40" spans="1:23">
      <c r="A40" s="14" t="s">
        <v>51</v>
      </c>
      <c r="B40" s="14" t="s">
        <v>91</v>
      </c>
      <c r="C40" s="14">
        <v>71</v>
      </c>
      <c r="D40" s="14" t="s">
        <v>93</v>
      </c>
      <c r="E40" s="14" t="s">
        <v>99</v>
      </c>
      <c r="F40" s="14" t="s">
        <v>107</v>
      </c>
      <c r="G40" s="15">
        <v>46132</v>
      </c>
      <c r="H40" s="15">
        <v>46136</v>
      </c>
      <c r="I40" s="14" t="s">
        <v>117</v>
      </c>
      <c r="J40" s="14" t="s">
        <v>119</v>
      </c>
      <c r="K40" s="14">
        <v>12500</v>
      </c>
      <c r="L40" s="14" t="s">
        <v>122</v>
      </c>
      <c r="M40" s="14">
        <v>4</v>
      </c>
      <c r="N40" s="14" t="str">
        <f t="shared" si="0"/>
        <v>No-Action</v>
      </c>
      <c r="O40" s="14" t="str">
        <f t="shared" si="1"/>
        <v>Normal Bill</v>
      </c>
      <c r="P40" s="14" t="str">
        <f t="shared" si="2"/>
        <v>Senior-citizen</v>
      </c>
      <c r="Q40" s="14" t="str">
        <f t="shared" si="3"/>
        <v>NHBC</v>
      </c>
      <c r="R40" s="14" t="str">
        <f t="shared" si="4"/>
        <v>No Need</v>
      </c>
      <c r="S40" s="14" t="str">
        <f t="shared" si="5"/>
        <v>RD</v>
      </c>
      <c r="T40" s="14" t="str">
        <f t="shared" si="6"/>
        <v>PP</v>
      </c>
      <c r="U40" s="14" t="str">
        <f t="shared" si="7"/>
        <v>Low</v>
      </c>
      <c r="V40" s="14" t="str">
        <f t="shared" si="8"/>
        <v>Normal</v>
      </c>
      <c r="W40" s="14" t="str">
        <f t="shared" si="9"/>
        <v>NR</v>
      </c>
    </row>
    <row r="41" spans="1:23">
      <c r="A41" s="14" t="s">
        <v>52</v>
      </c>
      <c r="B41" s="14" t="s">
        <v>92</v>
      </c>
      <c r="C41" s="14">
        <v>50</v>
      </c>
      <c r="D41" s="14" t="s">
        <v>94</v>
      </c>
      <c r="E41" s="14" t="s">
        <v>95</v>
      </c>
      <c r="F41" s="14" t="s">
        <v>106</v>
      </c>
      <c r="G41" s="15">
        <v>46134</v>
      </c>
      <c r="H41" s="15">
        <v>46144</v>
      </c>
      <c r="I41" s="14" t="s">
        <v>113</v>
      </c>
      <c r="J41" s="14" t="s">
        <v>118</v>
      </c>
      <c r="K41" s="14">
        <v>69000</v>
      </c>
      <c r="L41" s="14" t="s">
        <v>121</v>
      </c>
      <c r="M41" s="14">
        <v>10</v>
      </c>
      <c r="N41" s="14" t="str">
        <f t="shared" si="0"/>
        <v>Foolow-Up</v>
      </c>
      <c r="O41" s="14" t="str">
        <f t="shared" si="1"/>
        <v>High Bill</v>
      </c>
      <c r="P41" s="14" t="str">
        <f t="shared" si="2"/>
        <v>Non Senior -Citizen</v>
      </c>
      <c r="Q41" s="14" t="str">
        <f t="shared" si="3"/>
        <v>HBC</v>
      </c>
      <c r="R41" s="14" t="str">
        <f t="shared" si="4"/>
        <v>No Need</v>
      </c>
      <c r="S41" s="14" t="str">
        <f t="shared" si="5"/>
        <v>PD</v>
      </c>
      <c r="T41" s="14" t="str">
        <f t="shared" si="6"/>
        <v>NP</v>
      </c>
      <c r="U41" s="14" t="str">
        <f t="shared" si="7"/>
        <v>VH</v>
      </c>
      <c r="V41" s="14" t="str">
        <f t="shared" si="8"/>
        <v>Normal</v>
      </c>
      <c r="W41" s="14" t="str">
        <f t="shared" si="9"/>
        <v>MR</v>
      </c>
    </row>
    <row r="47" spans="1:23">
      <c r="E47" t="s">
        <v>123</v>
      </c>
      <c r="H47">
        <f>SUM(Bills)</f>
        <v>1019500</v>
      </c>
    </row>
    <row r="48" spans="1:23">
      <c r="E48" t="s">
        <v>138</v>
      </c>
      <c r="H48">
        <f>SUMIF(Department,E41,Bills)</f>
        <v>443500</v>
      </c>
    </row>
    <row r="49" spans="5:8">
      <c r="E49" t="s">
        <v>139</v>
      </c>
      <c r="H49">
        <f>COUNTIF(Department,E35)</f>
        <v>7</v>
      </c>
    </row>
    <row r="50" spans="5:8">
      <c r="E50" t="s">
        <v>140</v>
      </c>
      <c r="H50">
        <f>AVERAGEIF(Department,E33,Bills)</f>
        <v>25571.428571428572</v>
      </c>
    </row>
    <row r="51" spans="5:8">
      <c r="E51" t="s">
        <v>124</v>
      </c>
      <c r="H51">
        <f>SUMIF(J2:J41,J40,Bills)</f>
        <v>499500</v>
      </c>
    </row>
    <row r="52" spans="5:8">
      <c r="E52" t="s">
        <v>125</v>
      </c>
      <c r="H52">
        <f>COUNTIF(L2:L41,L25)</f>
        <v>10</v>
      </c>
    </row>
    <row r="53" spans="5:8">
      <c r="E53" t="s">
        <v>126</v>
      </c>
      <c r="H53">
        <f>SUMIF(L2:L41,L20,Bills)</f>
        <v>344500</v>
      </c>
    </row>
    <row r="54" spans="5:8">
      <c r="E54" t="s">
        <v>127</v>
      </c>
      <c r="H54">
        <f>SUMIFS(Bills,Department,E26,J2:J41,J19)</f>
        <v>275500</v>
      </c>
    </row>
    <row r="55" spans="5:8">
      <c r="E55" t="s">
        <v>128</v>
      </c>
      <c r="H55">
        <f>COUNTIFS(Department,E41,L2:L41,L20)</f>
        <v>4</v>
      </c>
    </row>
    <row r="56" spans="5:8">
      <c r="E56" t="s">
        <v>129</v>
      </c>
      <c r="H56">
        <f>AVERAGEIF(J2:J41,J41,Bills)</f>
        <v>25766.666666666668</v>
      </c>
    </row>
    <row r="57" spans="5:8">
      <c r="E57" t="s">
        <v>130</v>
      </c>
      <c r="H57">
        <f>COUNTIF(Bills,"&gt;40000")</f>
        <v>9</v>
      </c>
    </row>
    <row r="58" spans="5:8">
      <c r="E58" t="s">
        <v>131</v>
      </c>
      <c r="H58">
        <f>SUMIF(Bills,"&gt;40000",Bills)</f>
        <v>508000</v>
      </c>
    </row>
    <row r="59" spans="5:8">
      <c r="E59" t="s">
        <v>132</v>
      </c>
      <c r="H59">
        <f>COUNTIF(M2:M41,"&gt;5")</f>
        <v>11</v>
      </c>
    </row>
    <row r="60" spans="5:8">
      <c r="E60" t="s">
        <v>133</v>
      </c>
      <c r="H60">
        <f>SUMIF(M2:M41,"&gt;5",Bills)</f>
        <v>582000</v>
      </c>
    </row>
    <row r="61" spans="5:8">
      <c r="E61" t="s">
        <v>134</v>
      </c>
      <c r="H61">
        <f>SUMIFS(Bills,Department,E41,M2:M41,"&gt;5")</f>
        <v>320000</v>
      </c>
    </row>
    <row r="62" spans="5:8">
      <c r="E62" t="s">
        <v>135</v>
      </c>
      <c r="H62">
        <f>AVERAGEIF(L2:L41,L25,M2:M41)</f>
        <v>5.8</v>
      </c>
    </row>
    <row r="63" spans="5:8">
      <c r="E63" t="s">
        <v>136</v>
      </c>
      <c r="H63">
        <f>_xlfn.MAXIFS(Bills,Department,E41)</f>
        <v>76000</v>
      </c>
    </row>
    <row r="64" spans="5:8">
      <c r="E64" t="s">
        <v>137</v>
      </c>
      <c r="H64">
        <f>_xlfn.MINIFS(Bills,Department,E19)</f>
        <v>12500</v>
      </c>
    </row>
    <row r="65" spans="5:8">
      <c r="E65" t="s">
        <v>141</v>
      </c>
      <c r="H65">
        <f>COUNTIFS(Department,E21,L2:L41,L33)</f>
        <v>4</v>
      </c>
    </row>
    <row r="66" spans="5:8">
      <c r="E66" t="s">
        <v>142</v>
      </c>
      <c r="H66">
        <f>AVERAGEIFS(Bills,Department,E21,J2:J41,J40)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C47"/>
  <sheetViews>
    <sheetView workbookViewId="0">
      <selection activeCell="B34" sqref="B34"/>
    </sheetView>
  </sheetViews>
  <sheetFormatPr defaultRowHeight="14.5"/>
  <cols>
    <col min="1" max="1" width="98.08984375" customWidth="1"/>
    <col min="2" max="2" width="14" customWidth="1"/>
  </cols>
  <sheetData>
    <row r="1" spans="1:1">
      <c r="A1" s="9" t="s">
        <v>186</v>
      </c>
    </row>
    <row r="2" spans="1:1">
      <c r="A2" t="s">
        <v>187</v>
      </c>
    </row>
    <row r="3" spans="1:1">
      <c r="A3" t="s">
        <v>188</v>
      </c>
    </row>
    <row r="5" spans="1:1">
      <c r="A5" t="s">
        <v>189</v>
      </c>
    </row>
    <row r="6" spans="1:1">
      <c r="A6" s="10" t="s">
        <v>190</v>
      </c>
    </row>
    <row r="7" spans="1:1">
      <c r="A7" s="10" t="s">
        <v>191</v>
      </c>
    </row>
    <row r="9" spans="1:1">
      <c r="A9" t="s">
        <v>192</v>
      </c>
    </row>
    <row r="10" spans="1:1">
      <c r="A10" t="s">
        <v>194</v>
      </c>
    </row>
    <row r="11" spans="1:1">
      <c r="A11" t="s">
        <v>193</v>
      </c>
    </row>
    <row r="12" spans="1:1">
      <c r="A12" s="10"/>
    </row>
    <row r="13" spans="1:1">
      <c r="A13" t="s">
        <v>195</v>
      </c>
    </row>
    <row r="14" spans="1:1">
      <c r="A14" s="10" t="s">
        <v>196</v>
      </c>
    </row>
    <row r="15" spans="1:1">
      <c r="A15" s="11" t="s">
        <v>197</v>
      </c>
    </row>
    <row r="16" spans="1:1">
      <c r="A16" s="10" t="s">
        <v>198</v>
      </c>
    </row>
    <row r="18" spans="1:3">
      <c r="A18" t="s">
        <v>199</v>
      </c>
    </row>
    <row r="19" spans="1:3">
      <c r="A19" s="10" t="s">
        <v>200</v>
      </c>
    </row>
    <row r="20" spans="1:3">
      <c r="A20" s="10" t="s">
        <v>197</v>
      </c>
    </row>
    <row r="21" spans="1:3">
      <c r="A21" s="10" t="s">
        <v>201</v>
      </c>
    </row>
    <row r="23" spans="1:3">
      <c r="A23" t="s">
        <v>202</v>
      </c>
    </row>
    <row r="24" spans="1:3">
      <c r="A24" s="10" t="s">
        <v>203</v>
      </c>
    </row>
    <row r="25" spans="1:3">
      <c r="A25" s="10" t="s">
        <v>204</v>
      </c>
    </row>
    <row r="27" spans="1:3">
      <c r="A27" t="s">
        <v>205</v>
      </c>
    </row>
    <row r="28" spans="1:3">
      <c r="A28" t="s">
        <v>206</v>
      </c>
    </row>
    <row r="29" spans="1:3">
      <c r="A29" s="12"/>
    </row>
    <row r="30" spans="1:3">
      <c r="A30" t="s">
        <v>207</v>
      </c>
      <c r="B30" s="3" t="s">
        <v>208</v>
      </c>
      <c r="C30" s="4" t="s">
        <v>209</v>
      </c>
    </row>
    <row r="31" spans="1:3">
      <c r="B31" s="2" t="s">
        <v>210</v>
      </c>
      <c r="C31" s="5" t="s">
        <v>211</v>
      </c>
    </row>
    <row r="32" spans="1:3">
      <c r="B32" s="2" t="s">
        <v>212</v>
      </c>
      <c r="C32" s="5" t="s">
        <v>213</v>
      </c>
    </row>
    <row r="33" spans="1:3">
      <c r="A33" s="12"/>
      <c r="B33" s="2" t="s">
        <v>214</v>
      </c>
      <c r="C33" s="5" t="s">
        <v>215</v>
      </c>
    </row>
    <row r="34" spans="1:3">
      <c r="B34" s="2" t="s">
        <v>216</v>
      </c>
      <c r="C34" s="5" t="s">
        <v>217</v>
      </c>
    </row>
    <row r="37" spans="1:3">
      <c r="A37" t="s">
        <v>218</v>
      </c>
    </row>
    <row r="38" spans="1:3">
      <c r="A38" s="10" t="s">
        <v>219</v>
      </c>
    </row>
    <row r="39" spans="1:3">
      <c r="A39" s="10" t="s">
        <v>220</v>
      </c>
    </row>
    <row r="40" spans="1:3">
      <c r="A40" t="s">
        <v>221</v>
      </c>
    </row>
    <row r="42" spans="1:3">
      <c r="A42" t="s">
        <v>222</v>
      </c>
    </row>
    <row r="43" spans="1:3">
      <c r="A43" s="10"/>
    </row>
    <row r="44" spans="1:3">
      <c r="A44" s="10" t="s">
        <v>223</v>
      </c>
    </row>
    <row r="45" spans="1:3">
      <c r="A45" s="11" t="s">
        <v>224</v>
      </c>
    </row>
    <row r="47" spans="1:3">
      <c r="A4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B1" sqref="B1:D31"/>
    </sheetView>
  </sheetViews>
  <sheetFormatPr defaultRowHeight="14.5"/>
  <cols>
    <col min="2" max="2" width="23.54296875" customWidth="1"/>
    <col min="3" max="3" width="17.1796875" customWidth="1"/>
    <col min="4" max="4" width="21.08984375" customWidth="1"/>
  </cols>
  <sheetData>
    <row r="1" spans="1:4">
      <c r="A1" s="3" t="s">
        <v>143</v>
      </c>
      <c r="B1" s="4" t="s">
        <v>144</v>
      </c>
      <c r="C1" s="4" t="s">
        <v>145</v>
      </c>
      <c r="D1" s="3" t="s">
        <v>146</v>
      </c>
    </row>
    <row r="2" spans="1:4">
      <c r="A2" s="2">
        <v>1</v>
      </c>
      <c r="B2" s="5" t="s">
        <v>147</v>
      </c>
      <c r="C2" s="6" t="s">
        <v>148</v>
      </c>
      <c r="D2" s="7">
        <v>1019500</v>
      </c>
    </row>
    <row r="3" spans="1:4">
      <c r="A3" s="2">
        <v>2</v>
      </c>
      <c r="B3" s="5" t="s">
        <v>149</v>
      </c>
      <c r="C3" s="6" t="s">
        <v>150</v>
      </c>
      <c r="D3" s="7">
        <v>443500</v>
      </c>
    </row>
    <row r="4" spans="1:4">
      <c r="A4" s="2">
        <v>2</v>
      </c>
      <c r="B4" s="5" t="s">
        <v>151</v>
      </c>
      <c r="C4" s="6" t="s">
        <v>150</v>
      </c>
      <c r="D4" s="7">
        <v>89500</v>
      </c>
    </row>
    <row r="5" spans="1:4">
      <c r="A5" s="2">
        <v>2</v>
      </c>
      <c r="B5" s="5" t="s">
        <v>152</v>
      </c>
      <c r="C5" s="6" t="s">
        <v>150</v>
      </c>
      <c r="D5" s="7">
        <v>77500</v>
      </c>
    </row>
    <row r="6" spans="1:4">
      <c r="A6" s="2">
        <v>2</v>
      </c>
      <c r="B6" s="5" t="s">
        <v>153</v>
      </c>
      <c r="C6" s="6" t="s">
        <v>150</v>
      </c>
      <c r="D6" s="7">
        <v>179000</v>
      </c>
    </row>
    <row r="7" spans="1:4">
      <c r="A7" s="2">
        <v>2</v>
      </c>
      <c r="B7" s="5" t="s">
        <v>154</v>
      </c>
      <c r="C7" s="6" t="s">
        <v>150</v>
      </c>
      <c r="D7" s="7">
        <v>230000</v>
      </c>
    </row>
    <row r="8" spans="1:4">
      <c r="A8" s="2">
        <v>3</v>
      </c>
      <c r="B8" s="5" t="s">
        <v>155</v>
      </c>
      <c r="C8" s="6" t="s">
        <v>156</v>
      </c>
      <c r="D8" s="3">
        <v>10</v>
      </c>
    </row>
    <row r="9" spans="1:4">
      <c r="A9" s="2">
        <v>3</v>
      </c>
      <c r="B9" s="5" t="s">
        <v>157</v>
      </c>
      <c r="C9" s="6" t="s">
        <v>156</v>
      </c>
      <c r="D9" s="3">
        <v>7</v>
      </c>
    </row>
    <row r="10" spans="1:4">
      <c r="A10" s="2">
        <v>3</v>
      </c>
      <c r="B10" s="5" t="s">
        <v>158</v>
      </c>
      <c r="C10" s="6" t="s">
        <v>156</v>
      </c>
      <c r="D10" s="3">
        <v>8</v>
      </c>
    </row>
    <row r="11" spans="1:4">
      <c r="A11" s="2">
        <v>3</v>
      </c>
      <c r="B11" s="5" t="s">
        <v>159</v>
      </c>
      <c r="C11" s="6" t="s">
        <v>156</v>
      </c>
      <c r="D11" s="3">
        <v>7</v>
      </c>
    </row>
    <row r="12" spans="1:4">
      <c r="A12" s="2">
        <v>3</v>
      </c>
      <c r="B12" s="5" t="s">
        <v>160</v>
      </c>
      <c r="C12" s="6" t="s">
        <v>156</v>
      </c>
      <c r="D12" s="3">
        <v>8</v>
      </c>
    </row>
    <row r="13" spans="1:4">
      <c r="A13" s="2">
        <v>4</v>
      </c>
      <c r="B13" s="5" t="s">
        <v>161</v>
      </c>
      <c r="C13" s="6" t="s">
        <v>162</v>
      </c>
      <c r="D13" s="7">
        <v>44350</v>
      </c>
    </row>
    <row r="14" spans="1:4">
      <c r="A14" s="2">
        <v>4</v>
      </c>
      <c r="B14" s="5" t="s">
        <v>163</v>
      </c>
      <c r="C14" s="6" t="s">
        <v>162</v>
      </c>
      <c r="D14" s="8">
        <v>12785.71</v>
      </c>
    </row>
    <row r="15" spans="1:4">
      <c r="A15" s="2">
        <v>4</v>
      </c>
      <c r="B15" s="5" t="s">
        <v>164</v>
      </c>
      <c r="C15" s="6" t="s">
        <v>162</v>
      </c>
      <c r="D15" s="8">
        <v>9687.5</v>
      </c>
    </row>
    <row r="16" spans="1:4">
      <c r="A16" s="2">
        <v>4</v>
      </c>
      <c r="B16" s="5" t="s">
        <v>165</v>
      </c>
      <c r="C16" s="6" t="s">
        <v>162</v>
      </c>
      <c r="D16" s="8">
        <v>25571.43</v>
      </c>
    </row>
    <row r="17" spans="1:4">
      <c r="A17" s="2">
        <v>4</v>
      </c>
      <c r="B17" s="5" t="s">
        <v>166</v>
      </c>
      <c r="C17" s="6" t="s">
        <v>162</v>
      </c>
      <c r="D17" s="7">
        <v>28750</v>
      </c>
    </row>
    <row r="18" spans="1:4">
      <c r="A18" s="2">
        <v>5</v>
      </c>
      <c r="B18" s="5" t="s">
        <v>167</v>
      </c>
      <c r="C18" s="6" t="s">
        <v>150</v>
      </c>
      <c r="D18" s="7">
        <v>499500</v>
      </c>
    </row>
    <row r="19" spans="1:4">
      <c r="A19" s="2">
        <v>6</v>
      </c>
      <c r="B19" s="5" t="s">
        <v>168</v>
      </c>
      <c r="C19" s="6" t="s">
        <v>156</v>
      </c>
      <c r="D19" s="3">
        <v>10</v>
      </c>
    </row>
    <row r="20" spans="1:4">
      <c r="A20" s="2">
        <v>7</v>
      </c>
      <c r="B20" s="5" t="s">
        <v>169</v>
      </c>
      <c r="C20" s="6" t="s">
        <v>150</v>
      </c>
      <c r="D20" s="7">
        <v>344500</v>
      </c>
    </row>
    <row r="21" spans="1:4">
      <c r="A21" s="2">
        <v>8</v>
      </c>
      <c r="B21" s="5" t="s">
        <v>170</v>
      </c>
      <c r="C21" s="6" t="s">
        <v>171</v>
      </c>
      <c r="D21" s="7">
        <v>275500</v>
      </c>
    </row>
    <row r="22" spans="1:4">
      <c r="A22" s="2">
        <v>9</v>
      </c>
      <c r="B22" s="5" t="s">
        <v>172</v>
      </c>
      <c r="C22" s="6" t="s">
        <v>173</v>
      </c>
      <c r="D22" s="3">
        <v>4</v>
      </c>
    </row>
    <row r="23" spans="1:4">
      <c r="A23" s="2">
        <v>10</v>
      </c>
      <c r="B23" s="5" t="s">
        <v>174</v>
      </c>
      <c r="C23" s="6" t="s">
        <v>162</v>
      </c>
      <c r="D23" s="8">
        <v>25766.67</v>
      </c>
    </row>
    <row r="24" spans="1:4">
      <c r="A24" s="2">
        <v>11</v>
      </c>
      <c r="B24" s="5" t="s">
        <v>175</v>
      </c>
      <c r="C24" s="6" t="s">
        <v>156</v>
      </c>
      <c r="D24" s="3">
        <v>9</v>
      </c>
    </row>
    <row r="25" spans="1:4">
      <c r="A25" s="2">
        <v>12</v>
      </c>
      <c r="B25" s="5" t="s">
        <v>176</v>
      </c>
      <c r="C25" s="6" t="s">
        <v>150</v>
      </c>
      <c r="D25" s="7">
        <v>508000</v>
      </c>
    </row>
    <row r="26" spans="1:4">
      <c r="A26" s="2">
        <v>13</v>
      </c>
      <c r="B26" s="5" t="s">
        <v>177</v>
      </c>
      <c r="C26" s="6" t="s">
        <v>156</v>
      </c>
      <c r="D26" s="3">
        <v>11</v>
      </c>
    </row>
    <row r="27" spans="1:4">
      <c r="A27" s="2">
        <v>14</v>
      </c>
      <c r="B27" s="5" t="s">
        <v>178</v>
      </c>
      <c r="C27" s="6" t="s">
        <v>150</v>
      </c>
      <c r="D27" s="7">
        <v>582000</v>
      </c>
    </row>
    <row r="28" spans="1:4">
      <c r="A28" s="2">
        <v>15</v>
      </c>
      <c r="B28" s="5" t="s">
        <v>179</v>
      </c>
      <c r="C28" s="6" t="s">
        <v>171</v>
      </c>
      <c r="D28" s="7">
        <v>320000</v>
      </c>
    </row>
    <row r="29" spans="1:4" ht="29">
      <c r="A29" s="2">
        <v>16</v>
      </c>
      <c r="B29" s="5" t="s">
        <v>180</v>
      </c>
      <c r="C29" s="6" t="s">
        <v>162</v>
      </c>
      <c r="D29" s="3" t="s">
        <v>181</v>
      </c>
    </row>
    <row r="30" spans="1:4">
      <c r="A30" s="2">
        <v>17</v>
      </c>
      <c r="B30" s="5" t="s">
        <v>182</v>
      </c>
      <c r="C30" s="6" t="s">
        <v>183</v>
      </c>
      <c r="D30" s="7">
        <v>76000</v>
      </c>
    </row>
    <row r="31" spans="1:4">
      <c r="A31" s="2">
        <v>18</v>
      </c>
      <c r="B31" s="5" t="s">
        <v>184</v>
      </c>
      <c r="C31" s="6" t="s">
        <v>185</v>
      </c>
      <c r="D31" s="7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Patient_Data</vt:lpstr>
      <vt:lpstr>Questions</vt:lpstr>
      <vt:lpstr>Answers</vt:lpstr>
      <vt:lpstr>Bills</vt:lpstr>
      <vt:lpstr>Department</vt:lpstr>
      <vt:lpstr>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KURAPATI GANGOTHRI</cp:lastModifiedBy>
  <dcterms:created xsi:type="dcterms:W3CDTF">2026-09-09T05:55:57Z</dcterms:created>
  <dcterms:modified xsi:type="dcterms:W3CDTF">2026-09-29T05:58:46Z</dcterms:modified>
</cp:coreProperties>
</file>