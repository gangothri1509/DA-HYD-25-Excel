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9A6007AA-FF26-4A55-8D3F-7C55D428218D}" xr6:coauthVersionLast="47" xr6:coauthVersionMax="47" xr10:uidLastSave="{00000000-0000-0000-0000-000000000000}"/>
  <bookViews>
    <workbookView xWindow="-110" yWindow="-110" windowWidth="19420" windowHeight="11500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L16" i="2"/>
  <c r="L15" i="2"/>
  <c r="L11" i="2"/>
  <c r="L10" i="2"/>
  <c r="L6" i="2"/>
  <c r="L5" i="2"/>
  <c r="L4" i="2"/>
  <c r="L3" i="2"/>
  <c r="L7" i="2"/>
  <c r="L8" i="2"/>
  <c r="L9" i="2"/>
  <c r="L12" i="2"/>
  <c r="L13" i="2"/>
  <c r="L14" i="2"/>
  <c r="L17" i="2"/>
  <c r="L18" i="2"/>
  <c r="L19" i="2"/>
  <c r="L2" i="2"/>
  <c r="E27" i="2"/>
  <c r="E24" i="2"/>
</calcChain>
</file>

<file path=xl/sharedStrings.xml><?xml version="1.0" encoding="utf-8"?>
<sst xmlns="http://schemas.openxmlformats.org/spreadsheetml/2006/main" count="192" uniqueCount="135">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</sst>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I21"/>
  <sheetViews>
    <sheetView topLeftCell="A8" workbookViewId="0">
      <selection activeCell="E7" sqref="E7"/>
    </sheetView>
  </sheetViews>
  <sheetFormatPr defaultRowHeight="14.5"/>
  <cols>
    <col min="1" max="1" width="15.90625" customWidth="1"/>
    <col min="2" max="2" width="18.54296875" customWidth="1"/>
    <col min="3" max="3" width="15.81640625" customWidth="1"/>
    <col min="4" max="4" width="15.36328125" customWidth="1"/>
    <col min="5" max="5" width="14.453125" customWidth="1"/>
    <col min="6" max="6" width="16" customWidth="1"/>
    <col min="9" max="9" width="15" customWidth="1"/>
    <col min="10" max="10" width="19.08984375" customWidth="1"/>
  </cols>
  <sheetData>
    <row r="1" spans="1:9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9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</row>
    <row r="3" spans="1:9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</row>
    <row r="4" spans="1:9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9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9">
      <c r="E6" s="1">
        <v>100000</v>
      </c>
      <c r="F6" s="4">
        <v>0.15</v>
      </c>
    </row>
    <row r="7" spans="1:9" ht="43.5">
      <c r="I7" s="3" t="s">
        <v>16</v>
      </c>
    </row>
    <row r="13" spans="1:9" ht="18.5">
      <c r="A13" s="11" t="s">
        <v>133</v>
      </c>
      <c r="B13" s="11" t="s">
        <v>11</v>
      </c>
      <c r="C13" s="11" t="s">
        <v>1</v>
      </c>
      <c r="D13" s="11" t="s">
        <v>20</v>
      </c>
      <c r="E13" s="11" t="s">
        <v>24</v>
      </c>
    </row>
    <row r="14" spans="1:9" ht="18.5">
      <c r="A14" s="12" t="s">
        <v>25</v>
      </c>
      <c r="B14" s="12" t="s">
        <v>4</v>
      </c>
      <c r="C14" s="12" t="s">
        <v>5</v>
      </c>
      <c r="D14" s="12" t="s">
        <v>28</v>
      </c>
      <c r="E14" s="12">
        <v>40000</v>
      </c>
    </row>
    <row r="15" spans="1:9" ht="18.5">
      <c r="A15" s="12" t="s">
        <v>30</v>
      </c>
      <c r="B15" s="12" t="s">
        <v>2</v>
      </c>
      <c r="C15" s="12" t="s">
        <v>3</v>
      </c>
      <c r="D15" s="12" t="s">
        <v>37</v>
      </c>
      <c r="E15" s="12">
        <v>55000</v>
      </c>
    </row>
    <row r="16" spans="1:9" ht="18.5">
      <c r="A16" s="12" t="s">
        <v>34</v>
      </c>
      <c r="B16" s="12" t="s">
        <v>134</v>
      </c>
      <c r="C16" s="12" t="s">
        <v>6</v>
      </c>
      <c r="D16" s="12" t="s">
        <v>42</v>
      </c>
      <c r="E16" s="12">
        <v>48000</v>
      </c>
    </row>
    <row r="17" spans="1:7" ht="18.5">
      <c r="A17" s="12" t="s">
        <v>39</v>
      </c>
      <c r="B17" s="12" t="s">
        <v>7</v>
      </c>
      <c r="C17" s="12" t="s">
        <v>8</v>
      </c>
      <c r="D17" s="12" t="s">
        <v>28</v>
      </c>
      <c r="E17" s="12">
        <v>42000</v>
      </c>
    </row>
    <row r="21" spans="1:7" ht="37">
      <c r="C21" s="11" t="s">
        <v>133</v>
      </c>
      <c r="D21" s="11" t="s">
        <v>11</v>
      </c>
      <c r="E21" s="11" t="s">
        <v>1</v>
      </c>
      <c r="F21" s="11" t="s">
        <v>20</v>
      </c>
      <c r="G21" s="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V62"/>
  <sheetViews>
    <sheetView tabSelected="1" topLeftCell="A29" workbookViewId="0">
      <selection activeCell="F7" sqref="F7"/>
    </sheetView>
  </sheetViews>
  <sheetFormatPr defaultRowHeight="14.5"/>
  <cols>
    <col min="1" max="1" width="20.1796875" customWidth="1"/>
    <col min="2" max="2" width="20.6328125" customWidth="1"/>
    <col min="3" max="3" width="24.36328125" customWidth="1"/>
    <col min="4" max="4" width="15.453125" customWidth="1"/>
    <col min="5" max="5" width="14" customWidth="1"/>
    <col min="6" max="6" width="16.08984375" customWidth="1"/>
    <col min="7" max="7" width="16.1796875" customWidth="1"/>
    <col min="8" max="8" width="18.54296875" customWidth="1"/>
    <col min="9" max="9" width="12.90625" customWidth="1"/>
    <col min="10" max="10" width="14.453125" customWidth="1"/>
  </cols>
  <sheetData>
    <row r="1" spans="1:22">
      <c r="A1" s="2" t="s">
        <v>17</v>
      </c>
      <c r="B1" s="2" t="s">
        <v>18</v>
      </c>
      <c r="C1" s="2" t="s">
        <v>19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>
      <c r="A2" s="1" t="s">
        <v>25</v>
      </c>
      <c r="B2" s="1" t="s">
        <v>26</v>
      </c>
      <c r="C2" s="13" t="s">
        <v>27</v>
      </c>
      <c r="D2" s="1" t="s">
        <v>8</v>
      </c>
      <c r="E2" s="1" t="s">
        <v>28</v>
      </c>
      <c r="F2" s="14">
        <v>44576</v>
      </c>
      <c r="G2" s="14">
        <v>34862</v>
      </c>
      <c r="H2" s="1" t="s">
        <v>29</v>
      </c>
      <c r="I2" s="1">
        <v>45000</v>
      </c>
      <c r="J2" s="15" t="str">
        <f>LEFT($H2,3)</f>
        <v>HYD</v>
      </c>
      <c r="K2" s="15" t="str">
        <f>RIGHT($H2,3)</f>
        <v>101</v>
      </c>
      <c r="L2" s="15" t="str">
        <f>MID($H2,5,3)</f>
        <v>SAL</v>
      </c>
      <c r="M2" s="15">
        <f>LEN($B2)</f>
        <v>12</v>
      </c>
      <c r="N2" s="15"/>
      <c r="O2" s="15"/>
      <c r="P2" s="15"/>
      <c r="Q2" s="15"/>
      <c r="R2" s="15"/>
      <c r="S2" s="15"/>
      <c r="T2" s="15"/>
      <c r="U2" s="15"/>
      <c r="V2" s="15"/>
    </row>
    <row r="3" spans="1:22">
      <c r="A3" s="1" t="s">
        <v>30</v>
      </c>
      <c r="B3" s="1" t="s">
        <v>31</v>
      </c>
      <c r="C3" s="13" t="s">
        <v>32</v>
      </c>
      <c r="D3" s="1" t="s">
        <v>6</v>
      </c>
      <c r="E3" s="1" t="s">
        <v>28</v>
      </c>
      <c r="F3" s="14">
        <v>44277</v>
      </c>
      <c r="G3" s="14">
        <v>33821</v>
      </c>
      <c r="H3" s="1" t="s">
        <v>33</v>
      </c>
      <c r="I3" s="1">
        <v>52000</v>
      </c>
      <c r="J3" s="15" t="str">
        <f t="shared" ref="J3:J19" si="0">LEFT($H3,3)</f>
        <v>HYD</v>
      </c>
      <c r="K3" s="15" t="str">
        <f t="shared" ref="K3:K19" si="1">RIGHT($H3,3)</f>
        <v>102</v>
      </c>
      <c r="L3" s="15" t="str">
        <f t="shared" ref="L3:L19" si="2">MID($H3,5,3)</f>
        <v>FIN</v>
      </c>
      <c r="M3" s="15">
        <f t="shared" ref="M3:M19" si="3">LEN($B3)</f>
        <v>11</v>
      </c>
      <c r="N3" s="15"/>
      <c r="O3" s="15"/>
      <c r="P3" s="15"/>
      <c r="Q3" s="15"/>
      <c r="R3" s="15"/>
      <c r="S3" s="15"/>
      <c r="T3" s="15"/>
      <c r="U3" s="15"/>
      <c r="V3" s="15"/>
    </row>
    <row r="4" spans="1:22">
      <c r="A4" s="1" t="s">
        <v>34</v>
      </c>
      <c r="B4" s="1" t="s">
        <v>35</v>
      </c>
      <c r="C4" s="13" t="s">
        <v>36</v>
      </c>
      <c r="D4" s="1" t="s">
        <v>3</v>
      </c>
      <c r="E4" s="1" t="s">
        <v>37</v>
      </c>
      <c r="F4" s="14">
        <v>45117</v>
      </c>
      <c r="G4" s="14">
        <v>35844</v>
      </c>
      <c r="H4" s="1" t="s">
        <v>38</v>
      </c>
      <c r="I4" s="1">
        <v>48000</v>
      </c>
      <c r="J4" s="15" t="str">
        <f t="shared" si="0"/>
        <v>BLR</v>
      </c>
      <c r="K4" s="15" t="str">
        <f t="shared" si="1"/>
        <v>103</v>
      </c>
      <c r="L4" s="15" t="str">
        <f>MID($H4,5,2)</f>
        <v>IT</v>
      </c>
      <c r="M4" s="15">
        <f t="shared" si="3"/>
        <v>10</v>
      </c>
      <c r="N4" s="15"/>
      <c r="O4" s="15"/>
      <c r="P4" s="15"/>
      <c r="Q4" s="15"/>
      <c r="R4" s="15"/>
      <c r="S4" s="15"/>
      <c r="T4" s="15"/>
      <c r="U4" s="15"/>
      <c r="V4" s="15"/>
    </row>
    <row r="5" spans="1:22">
      <c r="A5" s="1" t="s">
        <v>39</v>
      </c>
      <c r="B5" s="1" t="s">
        <v>40</v>
      </c>
      <c r="C5" s="13" t="s">
        <v>41</v>
      </c>
      <c r="D5" s="1" t="s">
        <v>5</v>
      </c>
      <c r="E5" s="1" t="s">
        <v>42</v>
      </c>
      <c r="F5" s="14">
        <v>43866</v>
      </c>
      <c r="G5" s="14">
        <v>33202</v>
      </c>
      <c r="H5" s="1" t="s">
        <v>43</v>
      </c>
      <c r="I5" s="1">
        <v>50000</v>
      </c>
      <c r="J5" s="15" t="str">
        <f t="shared" si="0"/>
        <v>CHE</v>
      </c>
      <c r="K5" s="15" t="str">
        <f t="shared" si="1"/>
        <v>104</v>
      </c>
      <c r="L5" s="15" t="str">
        <f>MID($H5,5,2)</f>
        <v>HR</v>
      </c>
      <c r="M5" s="15">
        <f t="shared" si="3"/>
        <v>9</v>
      </c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1" t="s">
        <v>44</v>
      </c>
      <c r="B6" s="1" t="s">
        <v>45</v>
      </c>
      <c r="C6" s="13" t="s">
        <v>46</v>
      </c>
      <c r="D6" s="1" t="s">
        <v>3</v>
      </c>
      <c r="E6" s="1" t="s">
        <v>28</v>
      </c>
      <c r="F6" s="14">
        <v>44822</v>
      </c>
      <c r="G6" s="14">
        <v>35154</v>
      </c>
      <c r="H6" s="1" t="s">
        <v>47</v>
      </c>
      <c r="I6" s="1">
        <v>60000</v>
      </c>
      <c r="J6" s="15" t="str">
        <f t="shared" si="0"/>
        <v>HYD</v>
      </c>
      <c r="K6" s="15" t="str">
        <f t="shared" si="1"/>
        <v>105</v>
      </c>
      <c r="L6" s="15" t="str">
        <f>MID($H6,5,2)</f>
        <v>IT</v>
      </c>
      <c r="M6" s="15">
        <f t="shared" si="3"/>
        <v>11</v>
      </c>
      <c r="N6" s="15"/>
      <c r="O6" s="15"/>
      <c r="P6" s="15"/>
      <c r="Q6" s="15"/>
      <c r="R6" s="15"/>
      <c r="S6" s="15"/>
      <c r="T6" s="15"/>
      <c r="U6" s="15"/>
      <c r="V6" s="15"/>
    </row>
    <row r="7" spans="1:22">
      <c r="A7" s="1" t="s">
        <v>48</v>
      </c>
      <c r="B7" s="1" t="s">
        <v>49</v>
      </c>
      <c r="C7" s="13" t="s">
        <v>50</v>
      </c>
      <c r="D7" s="1" t="s">
        <v>8</v>
      </c>
      <c r="E7" s="1" t="s">
        <v>51</v>
      </c>
      <c r="F7" s="14">
        <v>45393</v>
      </c>
      <c r="G7" s="14">
        <v>36539</v>
      </c>
      <c r="H7" s="1" t="s">
        <v>52</v>
      </c>
      <c r="I7" s="1">
        <v>38000</v>
      </c>
      <c r="J7" s="15" t="str">
        <f t="shared" si="0"/>
        <v>MUM</v>
      </c>
      <c r="K7" s="15" t="str">
        <f t="shared" si="1"/>
        <v>106</v>
      </c>
      <c r="L7" s="15" t="str">
        <f t="shared" si="2"/>
        <v>SAL</v>
      </c>
      <c r="M7" s="15">
        <f t="shared" si="3"/>
        <v>10</v>
      </c>
      <c r="N7" s="15"/>
      <c r="O7" s="15"/>
      <c r="P7" s="15"/>
      <c r="Q7" s="15"/>
      <c r="R7" s="15"/>
      <c r="S7" s="15"/>
      <c r="T7" s="15"/>
      <c r="U7" s="15"/>
      <c r="V7" s="15"/>
    </row>
    <row r="8" spans="1:22">
      <c r="A8" s="1" t="s">
        <v>53</v>
      </c>
      <c r="B8" s="1" t="s">
        <v>54</v>
      </c>
      <c r="C8" s="13" t="s">
        <v>55</v>
      </c>
      <c r="D8" s="1" t="s">
        <v>6</v>
      </c>
      <c r="E8" s="1" t="s">
        <v>37</v>
      </c>
      <c r="F8" s="14">
        <v>44527</v>
      </c>
      <c r="G8" s="14">
        <v>34171</v>
      </c>
      <c r="H8" s="1" t="s">
        <v>56</v>
      </c>
      <c r="I8" s="1">
        <v>57000</v>
      </c>
      <c r="J8" s="15" t="str">
        <f t="shared" si="0"/>
        <v>BLR</v>
      </c>
      <c r="K8" s="15" t="str">
        <f t="shared" si="1"/>
        <v>107</v>
      </c>
      <c r="L8" s="15" t="str">
        <f t="shared" si="2"/>
        <v>FIN</v>
      </c>
      <c r="M8" s="15">
        <f t="shared" si="3"/>
        <v>11</v>
      </c>
      <c r="N8" s="15"/>
      <c r="O8" s="15"/>
      <c r="P8" s="15"/>
      <c r="Q8" s="15"/>
      <c r="R8" s="15"/>
      <c r="S8" s="15"/>
      <c r="T8" s="15"/>
      <c r="U8" s="15"/>
      <c r="V8" s="15"/>
    </row>
    <row r="9" spans="1:22">
      <c r="A9" s="1" t="s">
        <v>57</v>
      </c>
      <c r="B9" s="1" t="s">
        <v>58</v>
      </c>
      <c r="C9" s="13" t="s">
        <v>59</v>
      </c>
      <c r="D9" s="1" t="s">
        <v>60</v>
      </c>
      <c r="E9" s="1" t="s">
        <v>28</v>
      </c>
      <c r="F9" s="14">
        <v>44935</v>
      </c>
      <c r="G9" s="14">
        <v>35706</v>
      </c>
      <c r="H9" s="1" t="s">
        <v>61</v>
      </c>
      <c r="I9" s="1">
        <v>42000</v>
      </c>
      <c r="J9" s="15" t="str">
        <f t="shared" si="0"/>
        <v>HYD</v>
      </c>
      <c r="K9" s="15" t="str">
        <f t="shared" si="1"/>
        <v>108</v>
      </c>
      <c r="L9" s="15" t="str">
        <f t="shared" si="2"/>
        <v>MKT</v>
      </c>
      <c r="M9" s="15">
        <f t="shared" si="3"/>
        <v>11</v>
      </c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A10" s="1" t="s">
        <v>62</v>
      </c>
      <c r="B10" s="1" t="s">
        <v>63</v>
      </c>
      <c r="C10" s="13" t="s">
        <v>64</v>
      </c>
      <c r="D10" s="1" t="s">
        <v>5</v>
      </c>
      <c r="E10" s="1" t="s">
        <v>51</v>
      </c>
      <c r="F10" s="14">
        <v>43996</v>
      </c>
      <c r="G10" s="14">
        <v>33374</v>
      </c>
      <c r="H10" s="1" t="s">
        <v>65</v>
      </c>
      <c r="I10" s="1">
        <v>55000</v>
      </c>
      <c r="J10" s="15" t="str">
        <f t="shared" si="0"/>
        <v>MUM</v>
      </c>
      <c r="K10" s="15" t="str">
        <f t="shared" si="1"/>
        <v>109</v>
      </c>
      <c r="L10" s="15" t="str">
        <f>MID($H10,5,2)</f>
        <v>HR</v>
      </c>
      <c r="M10" s="15">
        <f t="shared" si="3"/>
        <v>13</v>
      </c>
      <c r="N10" s="15"/>
      <c r="O10" s="15"/>
      <c r="P10" s="15"/>
      <c r="Q10" s="15"/>
      <c r="R10" s="15"/>
      <c r="S10" s="15"/>
      <c r="T10" s="15"/>
      <c r="U10" s="15"/>
      <c r="V10" s="15"/>
    </row>
    <row r="11" spans="1:22">
      <c r="A11" s="1" t="s">
        <v>66</v>
      </c>
      <c r="B11" s="1" t="s">
        <v>67</v>
      </c>
      <c r="C11" s="13" t="s">
        <v>68</v>
      </c>
      <c r="D11" s="1" t="s">
        <v>3</v>
      </c>
      <c r="E11" s="1" t="s">
        <v>42</v>
      </c>
      <c r="F11" s="14">
        <v>45168</v>
      </c>
      <c r="G11" s="14">
        <v>36503</v>
      </c>
      <c r="H11" s="1" t="s">
        <v>69</v>
      </c>
      <c r="I11" s="1">
        <v>47000</v>
      </c>
      <c r="J11" s="15" t="str">
        <f t="shared" si="0"/>
        <v>CHE</v>
      </c>
      <c r="K11" s="15" t="str">
        <f t="shared" si="1"/>
        <v>110</v>
      </c>
      <c r="L11" s="15" t="str">
        <f>MID($H11,5,2)</f>
        <v>IT</v>
      </c>
      <c r="M11" s="15">
        <f t="shared" si="3"/>
        <v>12</v>
      </c>
      <c r="N11" s="15"/>
      <c r="O11" s="15"/>
      <c r="P11" s="15"/>
      <c r="Q11" s="15"/>
      <c r="R11" s="15"/>
      <c r="S11" s="15"/>
      <c r="T11" s="15"/>
      <c r="U11" s="15"/>
      <c r="V11" s="15"/>
    </row>
    <row r="12" spans="1:22">
      <c r="A12" s="1" t="s">
        <v>70</v>
      </c>
      <c r="B12" s="1" t="s">
        <v>71</v>
      </c>
      <c r="C12" s="13" t="s">
        <v>72</v>
      </c>
      <c r="D12" s="1" t="s">
        <v>8</v>
      </c>
      <c r="E12" s="1" t="s">
        <v>28</v>
      </c>
      <c r="F12" s="14">
        <v>44604</v>
      </c>
      <c r="G12" s="14">
        <v>34451</v>
      </c>
      <c r="H12" s="1" t="s">
        <v>73</v>
      </c>
      <c r="I12" s="1">
        <v>46000</v>
      </c>
      <c r="J12" s="15" t="str">
        <f t="shared" si="0"/>
        <v>HYD</v>
      </c>
      <c r="K12" s="15" t="str">
        <f t="shared" si="1"/>
        <v>111</v>
      </c>
      <c r="L12" s="15" t="str">
        <f t="shared" si="2"/>
        <v>SAL</v>
      </c>
      <c r="M12" s="15">
        <f t="shared" si="3"/>
        <v>10</v>
      </c>
      <c r="N12" s="15"/>
      <c r="O12" s="15"/>
      <c r="P12" s="15"/>
      <c r="Q12" s="15"/>
      <c r="R12" s="15"/>
      <c r="S12" s="15"/>
      <c r="T12" s="15"/>
      <c r="U12" s="15"/>
      <c r="V12" s="15"/>
    </row>
    <row r="13" spans="1:22">
      <c r="A13" s="1" t="s">
        <v>74</v>
      </c>
      <c r="B13" s="1" t="s">
        <v>75</v>
      </c>
      <c r="C13" s="13" t="s">
        <v>76</v>
      </c>
      <c r="D13" s="1" t="s">
        <v>6</v>
      </c>
      <c r="E13" s="1" t="s">
        <v>51</v>
      </c>
      <c r="F13" s="14">
        <v>44341</v>
      </c>
      <c r="G13" s="14">
        <v>32762</v>
      </c>
      <c r="H13" s="1" t="s">
        <v>77</v>
      </c>
      <c r="I13" s="1">
        <v>65000</v>
      </c>
      <c r="J13" s="15" t="str">
        <f t="shared" si="0"/>
        <v>MUM</v>
      </c>
      <c r="K13" s="15" t="str">
        <f t="shared" si="1"/>
        <v>112</v>
      </c>
      <c r="L13" s="15" t="str">
        <f t="shared" si="2"/>
        <v>FIN</v>
      </c>
      <c r="M13" s="15">
        <f t="shared" si="3"/>
        <v>10</v>
      </c>
      <c r="N13" s="15"/>
      <c r="O13" s="15"/>
      <c r="P13" s="15"/>
      <c r="Q13" s="15"/>
      <c r="R13" s="15"/>
      <c r="S13" s="15"/>
      <c r="T13" s="15"/>
      <c r="U13" s="15"/>
      <c r="V13" s="15"/>
    </row>
    <row r="14" spans="1:22">
      <c r="A14" s="1" t="s">
        <v>78</v>
      </c>
      <c r="B14" s="1" t="s">
        <v>79</v>
      </c>
      <c r="C14" s="13" t="s">
        <v>80</v>
      </c>
      <c r="D14" s="1" t="s">
        <v>60</v>
      </c>
      <c r="E14" s="1" t="s">
        <v>37</v>
      </c>
      <c r="F14" s="14">
        <v>45572</v>
      </c>
      <c r="G14" s="14">
        <v>36910</v>
      </c>
      <c r="H14" s="1" t="s">
        <v>81</v>
      </c>
      <c r="I14" s="1">
        <v>40000</v>
      </c>
      <c r="J14" s="15" t="str">
        <f t="shared" si="0"/>
        <v>BLR</v>
      </c>
      <c r="K14" s="15" t="str">
        <f t="shared" si="1"/>
        <v>113</v>
      </c>
      <c r="L14" s="15" t="str">
        <f t="shared" si="2"/>
        <v>MKT</v>
      </c>
      <c r="M14" s="15">
        <f t="shared" si="3"/>
        <v>10</v>
      </c>
      <c r="N14" s="15"/>
      <c r="O14" s="15"/>
      <c r="P14" s="15"/>
      <c r="Q14" s="15"/>
      <c r="R14" s="15"/>
      <c r="S14" s="15"/>
      <c r="T14" s="15"/>
      <c r="U14" s="15"/>
      <c r="V14" s="15"/>
    </row>
    <row r="15" spans="1:22">
      <c r="A15" s="1" t="s">
        <v>82</v>
      </c>
      <c r="B15" s="1" t="s">
        <v>83</v>
      </c>
      <c r="C15" s="13" t="s">
        <v>84</v>
      </c>
      <c r="D15" s="1" t="s">
        <v>3</v>
      </c>
      <c r="E15" s="1" t="s">
        <v>28</v>
      </c>
      <c r="F15" s="14">
        <v>44911</v>
      </c>
      <c r="G15" s="14">
        <v>34888</v>
      </c>
      <c r="H15" s="1" t="s">
        <v>85</v>
      </c>
      <c r="I15" s="1">
        <v>58000</v>
      </c>
      <c r="J15" s="15" t="str">
        <f t="shared" si="0"/>
        <v>HYD</v>
      </c>
      <c r="K15" s="15" t="str">
        <f t="shared" si="1"/>
        <v>114</v>
      </c>
      <c r="L15" s="15" t="str">
        <f>MID($H15,5,2)</f>
        <v>IT</v>
      </c>
      <c r="M15" s="15">
        <f t="shared" si="3"/>
        <v>11</v>
      </c>
      <c r="N15" s="15"/>
      <c r="O15" s="15"/>
      <c r="P15" s="15"/>
      <c r="Q15" s="15"/>
      <c r="R15" s="15"/>
      <c r="S15" s="15"/>
      <c r="T15" s="15"/>
      <c r="U15" s="15"/>
      <c r="V15" s="15"/>
    </row>
    <row r="16" spans="1:22">
      <c r="A16" s="1" t="s">
        <v>86</v>
      </c>
      <c r="B16" s="1" t="s">
        <v>87</v>
      </c>
      <c r="C16" s="13" t="s">
        <v>88</v>
      </c>
      <c r="D16" s="1" t="s">
        <v>5</v>
      </c>
      <c r="E16" s="1" t="s">
        <v>42</v>
      </c>
      <c r="F16" s="14">
        <v>44988</v>
      </c>
      <c r="G16" s="14">
        <v>35756</v>
      </c>
      <c r="H16" s="1" t="s">
        <v>89</v>
      </c>
      <c r="I16" s="1">
        <v>43000</v>
      </c>
      <c r="J16" s="15" t="str">
        <f t="shared" si="0"/>
        <v>CHE</v>
      </c>
      <c r="K16" s="15" t="str">
        <f t="shared" si="1"/>
        <v>115</v>
      </c>
      <c r="L16" s="15" t="str">
        <f>MID($H16,5,2)</f>
        <v>HR</v>
      </c>
      <c r="M16" s="15">
        <f t="shared" si="3"/>
        <v>11</v>
      </c>
      <c r="N16" s="15"/>
      <c r="O16" s="15"/>
      <c r="P16" s="15"/>
      <c r="Q16" s="15"/>
      <c r="R16" s="15"/>
      <c r="S16" s="15"/>
      <c r="T16" s="15"/>
      <c r="U16" s="15"/>
      <c r="V16" s="15"/>
    </row>
    <row r="17" spans="1:22">
      <c r="A17" s="1" t="s">
        <v>90</v>
      </c>
      <c r="B17" s="1" t="s">
        <v>91</v>
      </c>
      <c r="C17" s="13" t="s">
        <v>92</v>
      </c>
      <c r="D17" s="1" t="s">
        <v>8</v>
      </c>
      <c r="E17" s="1" t="s">
        <v>51</v>
      </c>
      <c r="F17" s="14">
        <v>44001</v>
      </c>
      <c r="G17" s="14">
        <v>32919</v>
      </c>
      <c r="H17" s="1" t="s">
        <v>93</v>
      </c>
      <c r="I17" s="1">
        <v>51000</v>
      </c>
      <c r="J17" s="15" t="str">
        <f t="shared" si="0"/>
        <v>MUM</v>
      </c>
      <c r="K17" s="15" t="str">
        <f t="shared" si="1"/>
        <v>116</v>
      </c>
      <c r="L17" s="15" t="str">
        <f t="shared" si="2"/>
        <v>SAL</v>
      </c>
      <c r="M17" s="15">
        <f t="shared" si="3"/>
        <v>12</v>
      </c>
      <c r="N17" s="15"/>
      <c r="O17" s="15"/>
      <c r="P17" s="15"/>
      <c r="Q17" s="15"/>
      <c r="R17" s="15"/>
      <c r="S17" s="15"/>
      <c r="T17" s="15"/>
      <c r="U17" s="15"/>
      <c r="V17" s="15"/>
    </row>
    <row r="18" spans="1:22">
      <c r="A18" s="1" t="s">
        <v>94</v>
      </c>
      <c r="B18" s="1" t="s">
        <v>95</v>
      </c>
      <c r="C18" s="13" t="s">
        <v>96</v>
      </c>
      <c r="D18" s="1" t="s">
        <v>6</v>
      </c>
      <c r="E18" s="1" t="s">
        <v>28</v>
      </c>
      <c r="F18" s="14">
        <v>45319</v>
      </c>
      <c r="G18" s="14">
        <v>36072</v>
      </c>
      <c r="H18" s="1" t="s">
        <v>97</v>
      </c>
      <c r="I18" s="1">
        <v>49000</v>
      </c>
      <c r="J18" s="15" t="str">
        <f t="shared" si="0"/>
        <v>HYD</v>
      </c>
      <c r="K18" s="15" t="str">
        <f t="shared" si="1"/>
        <v>117</v>
      </c>
      <c r="L18" s="15" t="str">
        <f t="shared" si="2"/>
        <v>FIN</v>
      </c>
      <c r="M18" s="15">
        <f t="shared" si="3"/>
        <v>10</v>
      </c>
      <c r="N18" s="15"/>
      <c r="O18" s="15"/>
      <c r="P18" s="15"/>
      <c r="Q18" s="15"/>
      <c r="R18" s="15"/>
      <c r="S18" s="15"/>
      <c r="T18" s="15"/>
      <c r="U18" s="15"/>
      <c r="V18" s="15"/>
    </row>
    <row r="19" spans="1:22">
      <c r="A19" s="1" t="s">
        <v>98</v>
      </c>
      <c r="B19" s="1" t="s">
        <v>99</v>
      </c>
      <c r="C19" s="13" t="s">
        <v>100</v>
      </c>
      <c r="D19" s="1" t="s">
        <v>60</v>
      </c>
      <c r="E19" s="1" t="s">
        <v>42</v>
      </c>
      <c r="F19" s="14">
        <v>44421</v>
      </c>
      <c r="G19" s="14">
        <v>34118</v>
      </c>
      <c r="H19" s="1" t="s">
        <v>101</v>
      </c>
      <c r="I19" s="1">
        <v>53000</v>
      </c>
      <c r="J19" s="15" t="str">
        <f t="shared" si="0"/>
        <v>CHE</v>
      </c>
      <c r="K19" s="15" t="str">
        <f t="shared" si="1"/>
        <v>118</v>
      </c>
      <c r="L19" s="15" t="str">
        <f t="shared" si="2"/>
        <v>MKT</v>
      </c>
      <c r="M19" s="15">
        <f t="shared" si="3"/>
        <v>11</v>
      </c>
      <c r="N19" s="15"/>
      <c r="O19" s="15"/>
      <c r="P19" s="15"/>
      <c r="Q19" s="15"/>
      <c r="R19" s="15"/>
      <c r="S19" s="15"/>
      <c r="T19" s="15"/>
      <c r="U19" s="15"/>
      <c r="V19" s="15"/>
    </row>
    <row r="20" spans="1:22">
      <c r="A20" s="3"/>
      <c r="B20" s="3"/>
      <c r="C20" s="5"/>
      <c r="D20" s="3"/>
      <c r="E20" s="3"/>
      <c r="F20" s="6"/>
      <c r="G20" s="3"/>
      <c r="H20" s="3"/>
      <c r="I20" s="3"/>
    </row>
    <row r="24" spans="1:22">
      <c r="B24" s="7" t="s">
        <v>102</v>
      </c>
      <c r="E24" t="str">
        <f>LEFT(A2,3)</f>
        <v>E10</v>
      </c>
    </row>
    <row r="25" spans="1:22">
      <c r="B25" s="7" t="s">
        <v>103</v>
      </c>
    </row>
    <row r="26" spans="1:22">
      <c r="B26" s="7"/>
    </row>
    <row r="27" spans="1:22">
      <c r="B27" s="7" t="s">
        <v>104</v>
      </c>
      <c r="E27" t="str">
        <f>RIGHT(A17,3)</f>
        <v>116</v>
      </c>
    </row>
    <row r="28" spans="1:22">
      <c r="B28" s="7" t="s">
        <v>105</v>
      </c>
    </row>
    <row r="29" spans="1:22">
      <c r="B29" s="7"/>
    </row>
    <row r="30" spans="1:22">
      <c r="B30" s="7" t="s">
        <v>106</v>
      </c>
    </row>
    <row r="31" spans="1:22">
      <c r="B31" s="7" t="s">
        <v>107</v>
      </c>
    </row>
    <row r="32" spans="1:22">
      <c r="B32" s="7"/>
    </row>
    <row r="33" spans="2:2">
      <c r="B33" s="7" t="s">
        <v>108</v>
      </c>
    </row>
    <row r="34" spans="2:2">
      <c r="B34" s="7" t="s">
        <v>109</v>
      </c>
    </row>
    <row r="35" spans="2:2">
      <c r="B35" s="7" t="s">
        <v>110</v>
      </c>
    </row>
    <row r="36" spans="2:2">
      <c r="B36" s="7" t="s">
        <v>111</v>
      </c>
    </row>
    <row r="37" spans="2:2">
      <c r="B37" s="7" t="s">
        <v>112</v>
      </c>
    </row>
    <row r="38" spans="2:2">
      <c r="B38" s="7" t="s">
        <v>113</v>
      </c>
    </row>
    <row r="39" spans="2:2">
      <c r="B39" s="7" t="s">
        <v>114</v>
      </c>
    </row>
    <row r="40" spans="2:2">
      <c r="B40" s="7" t="s">
        <v>115</v>
      </c>
    </row>
    <row r="41" spans="2:2">
      <c r="B41" s="7" t="s">
        <v>116</v>
      </c>
    </row>
    <row r="42" spans="2:2">
      <c r="B42" s="7" t="s">
        <v>117</v>
      </c>
    </row>
    <row r="43" spans="2:2">
      <c r="B43" s="7" t="s">
        <v>118</v>
      </c>
    </row>
    <row r="44" spans="2:2">
      <c r="B44" s="7" t="s">
        <v>119</v>
      </c>
    </row>
    <row r="45" spans="2:2">
      <c r="B45" s="8" t="s">
        <v>120</v>
      </c>
    </row>
    <row r="46" spans="2:2">
      <c r="B46" s="7" t="s">
        <v>121</v>
      </c>
    </row>
    <row r="47" spans="2:2">
      <c r="B47" s="8" t="s">
        <v>122</v>
      </c>
    </row>
    <row r="48" spans="2:2">
      <c r="B48" s="7" t="s">
        <v>123</v>
      </c>
    </row>
    <row r="52" spans="2:2" ht="31">
      <c r="B52" s="9" t="s">
        <v>124</v>
      </c>
    </row>
    <row r="53" spans="2:2">
      <c r="B53" s="7"/>
    </row>
    <row r="54" spans="2:2">
      <c r="B54" s="7" t="s">
        <v>125</v>
      </c>
    </row>
    <row r="55" spans="2:2">
      <c r="B55" s="7" t="s">
        <v>126</v>
      </c>
    </row>
    <row r="56" spans="2:2">
      <c r="B56" s="7" t="s">
        <v>127</v>
      </c>
    </row>
    <row r="57" spans="2:2">
      <c r="B57" s="7" t="s">
        <v>128</v>
      </c>
    </row>
    <row r="58" spans="2:2">
      <c r="B58" s="7" t="s">
        <v>129</v>
      </c>
    </row>
    <row r="59" spans="2:2">
      <c r="B59" s="7" t="s">
        <v>130</v>
      </c>
    </row>
    <row r="60" spans="2:2">
      <c r="B60" s="7" t="s">
        <v>131</v>
      </c>
    </row>
    <row r="61" spans="2:2">
      <c r="B61" s="10">
        <v>44562</v>
      </c>
    </row>
    <row r="62" spans="2:2">
      <c r="B62" s="7" t="s">
        <v>132</v>
      </c>
    </row>
  </sheetData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KURAPATI GANGOTHRI</cp:lastModifiedBy>
  <dcterms:created xsi:type="dcterms:W3CDTF">2026-09-10T17:11:08Z</dcterms:created>
  <dcterms:modified xsi:type="dcterms:W3CDTF">2026-09-30T09:25:35Z</dcterms:modified>
</cp:coreProperties>
</file>